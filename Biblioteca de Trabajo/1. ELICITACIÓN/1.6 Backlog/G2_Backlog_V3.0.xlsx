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STEFY\6toSemestre\A&amp;D\27837_G2_ADS\PREGAME\1. ELICITACION\1.6 Backlog\"/>
    </mc:Choice>
  </mc:AlternateContent>
  <xr:revisionPtr revIDLastSave="0" documentId="13_ncr:1_{88441E9B-E3BD-427B-A184-A9EC0953E158}" xr6:coauthVersionLast="47" xr6:coauthVersionMax="47" xr10:uidLastSave="{00000000-0000-0000-0000-000000000000}"/>
  <bookViews>
    <workbookView xWindow="1104" yWindow="156" windowWidth="10572" windowHeight="11784" firstSheet="1" activeTab="3" xr2:uid="{00000000-000D-0000-FFFF-FFFF00000000}"/>
  </bookViews>
  <sheets>
    <sheet name="Backlog" sheetId="1" r:id="rId1"/>
    <sheet name="sprint0" sheetId="2" r:id="rId2"/>
    <sheet name="sprint1" sheetId="5" r:id="rId3"/>
    <sheet name="burdonchar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D30" i="3" l="1"/>
  <c r="E30" i="3" s="1"/>
  <c r="F30" i="3" s="1"/>
  <c r="G30" i="3" s="1"/>
  <c r="H30" i="3" s="1"/>
  <c r="D29" i="3"/>
  <c r="E25" i="3"/>
  <c r="F25" i="3"/>
  <c r="G25" i="3"/>
  <c r="H25" i="3"/>
  <c r="I25" i="3"/>
  <c r="J25" i="3"/>
  <c r="D25" i="3"/>
  <c r="C30" i="3"/>
  <c r="C29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6" i="3"/>
  <c r="K7" i="3"/>
  <c r="K8" i="3"/>
  <c r="K9" i="3"/>
  <c r="K10" i="3"/>
  <c r="K11" i="3"/>
  <c r="K47" i="2"/>
  <c r="K5" i="3"/>
  <c r="K4" i="3"/>
  <c r="K25" i="3" l="1"/>
  <c r="E29" i="3"/>
  <c r="F29" i="3" s="1"/>
  <c r="G29" i="3" s="1"/>
  <c r="H29" i="3" s="1"/>
  <c r="I29" i="3" s="1"/>
  <c r="J29" i="3" s="1"/>
  <c r="I30" i="3"/>
  <c r="J30" i="3" s="1"/>
</calcChain>
</file>

<file path=xl/sharedStrings.xml><?xml version="1.0" encoding="utf-8"?>
<sst xmlns="http://schemas.openxmlformats.org/spreadsheetml/2006/main" count="719" uniqueCount="339">
  <si>
    <t>Tema</t>
  </si>
  <si>
    <t>necesito</t>
  </si>
  <si>
    <t>notas</t>
  </si>
  <si>
    <t>prioridad</t>
  </si>
  <si>
    <t>estatus</t>
  </si>
  <si>
    <t>Administrador</t>
  </si>
  <si>
    <t>Alta</t>
  </si>
  <si>
    <t>Media</t>
  </si>
  <si>
    <t>ID</t>
  </si>
  <si>
    <t>Necesito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</si>
  <si>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</si>
  <si>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</si>
  <si>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</si>
  <si>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</si>
  <si>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</si>
  <si>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</si>
  <si>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</si>
  <si>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</si>
  <si>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</si>
  <si>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</si>
  <si>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</si>
  <si>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Como un…</t>
  </si>
  <si>
    <t>Inicio de sesión institucional</t>
  </si>
  <si>
    <t>Usuario ESPE</t>
  </si>
  <si>
    <t>Iniciar sesión con mis credenciales Banner</t>
  </si>
  <si>
    <t>Acceder al sistema de manera segura</t>
  </si>
  <si>
    <t>Integración con Banner</t>
  </si>
  <si>
    <t>No iniciado</t>
  </si>
  <si>
    <t>Solicitud estudiante</t>
  </si>
  <si>
    <t>Estudiante</t>
  </si>
  <si>
    <t>Solicitar dispositivos dentro de mi franja horaria</t>
  </si>
  <si>
    <t>Garantizar uso correcto según mi clase</t>
  </si>
  <si>
    <t>Datos automáticos desde Banner</t>
  </si>
  <si>
    <t>Solicitud docente</t>
  </si>
  <si>
    <t>Docente</t>
  </si>
  <si>
    <t>Solicitar dispositivos dentro o fuera de mi horario</t>
  </si>
  <si>
    <t>Apoyar actividades académicas extraordinarias</t>
  </si>
  <si>
    <t>Observación obligatoria fuera de horario</t>
  </si>
  <si>
    <t>Solicitud administrativo</t>
  </si>
  <si>
    <t>Administrativo</t>
  </si>
  <si>
    <t>Solicitar dispositivos con fecha y hora definida</t>
  </si>
  <si>
    <t>Realizar actividades institucionales</t>
  </si>
  <si>
    <t>Controlar usos excesivos</t>
  </si>
  <si>
    <t>Registrar préstamo</t>
  </si>
  <si>
    <t>Técnico</t>
  </si>
  <si>
    <t>Registrar entrega y devolución física</t>
  </si>
  <si>
    <t>Mantener control real de dispositivos prestados</t>
  </si>
  <si>
    <t>Requiere panel técnico</t>
  </si>
  <si>
    <t>Catálogo de dispositivos</t>
  </si>
  <si>
    <t>Consultar el inventario de dispositivos</t>
  </si>
  <si>
    <t>Conocer disponibilidad general del equipo</t>
  </si>
  <si>
    <t>Base del sistema</t>
  </si>
  <si>
    <t>Notificaciones</t>
  </si>
  <si>
    <t>Sistema</t>
  </si>
  <si>
    <t>Enviar alertas por retraso</t>
  </si>
  <si>
    <t>Tomar acciones correctivas oportunas</t>
  </si>
  <si>
    <t>Depende de servidor de correo</t>
  </si>
  <si>
    <t>Reportes filtrables</t>
  </si>
  <si>
    <t>Generar reportes con filtros avanzados</t>
  </si>
  <si>
    <t>Tomar decisiones y analizar uso</t>
  </si>
  <si>
    <t>Trazabilidad total</t>
  </si>
  <si>
    <t>Validación de disponibilidad</t>
  </si>
  <si>
    <t>Verificar estado de disponibilidad</t>
  </si>
  <si>
    <t>Evitar conflictos por doble asignación</t>
  </si>
  <si>
    <t>Se usa en todas las solicitudes</t>
  </si>
  <si>
    <t>Asignación automática</t>
  </si>
  <si>
    <t>Asignar dispositivo disponible</t>
  </si>
  <si>
    <t>Reducir errores manuales</t>
  </si>
  <si>
    <t>Lógica ampliable</t>
  </si>
  <si>
    <t>Código de préstamo</t>
  </si>
  <si>
    <t>Obtener un código único al reservar</t>
  </si>
  <si>
    <t>Retirar el dispositivo con facilidad</t>
  </si>
  <si>
    <t>Identificación en entrega</t>
  </si>
  <si>
    <t>Gestión de inventario</t>
  </si>
  <si>
    <t>Agregar y modificar dispositivos</t>
  </si>
  <si>
    <t>Mantener el inventario actualizado</t>
  </si>
  <si>
    <t>Sin eliminación física</t>
  </si>
  <si>
    <t>Registrar daños</t>
  </si>
  <si>
    <t>Marcar dispositivos dañados</t>
  </si>
  <si>
    <t>Bloquear equipos defectuosos</t>
  </si>
  <si>
    <t>Conexión con inventario</t>
  </si>
  <si>
    <t>Revisión técnica</t>
  </si>
  <si>
    <t>Registrar condición de equipos al devolverlos</t>
  </si>
  <si>
    <t>Detectar fallas a tiempo</t>
  </si>
  <si>
    <t>Adjuntar evidencia opcional</t>
  </si>
  <si>
    <t>Liberación automática</t>
  </si>
  <si>
    <t>Liberar préstamo no retirado después de 20 min</t>
  </si>
  <si>
    <t>Evitar pérdida de disponibilidad</t>
  </si>
  <si>
    <t>Regla fija de negocio</t>
  </si>
  <si>
    <t>Cancelación anticipada</t>
  </si>
  <si>
    <t>Cancelar mi solicitud con 20 min de anticipación</t>
  </si>
  <si>
    <t>Liberar recursos para otros usuarios</t>
  </si>
  <si>
    <t>Solo antes del tiempo límite</t>
  </si>
  <si>
    <t>REQ01</t>
  </si>
  <si>
    <t>REQ02</t>
  </si>
  <si>
    <t>REQ03</t>
  </si>
  <si>
    <t>REQ04</t>
  </si>
  <si>
    <t>REQ05</t>
  </si>
  <si>
    <t>REQ06</t>
  </si>
  <si>
    <t>REQ07</t>
  </si>
  <si>
    <t>REQ08</t>
  </si>
  <si>
    <t>REQ09</t>
  </si>
  <si>
    <t>REQ10</t>
  </si>
  <si>
    <t>REQ11</t>
  </si>
  <si>
    <t>REQ12</t>
  </si>
  <si>
    <t>REQ13</t>
  </si>
  <si>
    <t>REQ14</t>
  </si>
  <si>
    <t>REQ15</t>
  </si>
  <si>
    <t>REQ16</t>
  </si>
  <si>
    <t>Así podré…</t>
  </si>
  <si>
    <t>Encargado</t>
  </si>
  <si>
    <t>Notas</t>
  </si>
  <si>
    <t>Hrs</t>
  </si>
  <si>
    <t>RF01</t>
  </si>
  <si>
    <t>Iniciar sesión con credenciales Banner</t>
  </si>
  <si>
    <t>Acceder al sistema seguro</t>
  </si>
  <si>
    <t>Stefany Díaz</t>
  </si>
  <si>
    <t>RF01-1</t>
  </si>
  <si>
    <t>Crear formulario de inicio de sesión</t>
  </si>
  <si>
    <t>—</t>
  </si>
  <si>
    <t>Implementar vista UI</t>
  </si>
  <si>
    <t>Ver formulario de login</t>
  </si>
  <si>
    <t>RF01-2</t>
  </si>
  <si>
    <t>Validar dominio @espe.edu.ec</t>
  </si>
  <si>
    <t>Verificar formato de correo</t>
  </si>
  <si>
    <t>Bloqueo de acceso indebido</t>
  </si>
  <si>
    <t>RF01-3</t>
  </si>
  <si>
    <t>Conectar API Banner</t>
  </si>
  <si>
    <t>Consumir servicio autenticación</t>
  </si>
  <si>
    <t>Validar acceso institucional</t>
  </si>
  <si>
    <t>Backend</t>
  </si>
  <si>
    <t>RF01-4</t>
  </si>
  <si>
    <t>Mensajes de error y redirección por rol</t>
  </si>
  <si>
    <t>Mostrar alertas correctas</t>
  </si>
  <si>
    <t>Mejor UX y flujo según usuario</t>
  </si>
  <si>
    <t>RF02</t>
  </si>
  <si>
    <t>Reservar durante mi franja horaria</t>
  </si>
  <si>
    <t>Pedir un dispositivo permitido</t>
  </si>
  <si>
    <t>Depende de RF-01</t>
  </si>
  <si>
    <t>RF02-1</t>
  </si>
  <si>
    <t>Cargar horario desde Banner</t>
  </si>
  <si>
    <t>Obtener horario auto</t>
  </si>
  <si>
    <t>Evitar errores manuales</t>
  </si>
  <si>
    <t>Dependencia RF01</t>
  </si>
  <si>
    <t>RF02-2</t>
  </si>
  <si>
    <t>Selección de franja y dispositivo</t>
  </si>
  <si>
    <t>UI para disponibilidad</t>
  </si>
  <si>
    <t>Reservar rápido</t>
  </si>
  <si>
    <t>RF02-3</t>
  </si>
  <si>
    <t>Validar franja horaria</t>
  </si>
  <si>
    <t>Rechazar fuera de horario</t>
  </si>
  <si>
    <t>Control académico</t>
  </si>
  <si>
    <t>RF05</t>
  </si>
  <si>
    <t>Registrar préstamo físico</t>
  </si>
  <si>
    <t>Registrar hora de entrega y devolución</t>
  </si>
  <si>
    <t>Control real de préstamo</t>
  </si>
  <si>
    <t>Panel técnico</t>
  </si>
  <si>
    <t>RF05-1</t>
  </si>
  <si>
    <t>UI panel técnico</t>
  </si>
  <si>
    <t>Tener vista de dispositivos a entregar</t>
  </si>
  <si>
    <t>Gestionar entregas</t>
  </si>
  <si>
    <t>RF05-2</t>
  </si>
  <si>
    <t>Registrar entrega con código</t>
  </si>
  <si>
    <t>Validar préstamo activo</t>
  </si>
  <si>
    <t>Trazabilidad correcta</t>
  </si>
  <si>
    <t>Depende RF11</t>
  </si>
  <si>
    <t>Registrar devolución</t>
  </si>
  <si>
    <t>Guardar hora de retorno</t>
  </si>
  <si>
    <t>Control de retorno</t>
  </si>
  <si>
    <t>RF06</t>
  </si>
  <si>
    <t>Visualizar inventario</t>
  </si>
  <si>
    <t>Seleccionar equipos disponibles</t>
  </si>
  <si>
    <t>Base para inventario</t>
  </si>
  <si>
    <t>RF06-1</t>
  </si>
  <si>
    <t>Vista catálogo</t>
  </si>
  <si>
    <t>Ver listado</t>
  </si>
  <si>
    <t>Facilita administración</t>
  </si>
  <si>
    <t>RF06-2</t>
  </si>
  <si>
    <t>Filtros por tipo/estado</t>
  </si>
  <si>
    <t>Buscar más rápido</t>
  </si>
  <si>
    <t>Mejor gestión</t>
  </si>
  <si>
    <t>Validar disponibilidad</t>
  </si>
  <si>
    <t>Verificar estado del dispositivo antes de asignarlo</t>
  </si>
  <si>
    <t>Evitar doble reserva o errores</t>
  </si>
  <si>
    <t>Se usa en RF02 y RF10</t>
  </si>
  <si>
    <t>Validar estado en tiempo real</t>
  </si>
  <si>
    <t>Verificar que no esté prestado o en mantenimiento</t>
  </si>
  <si>
    <t>Reservar correctamente</t>
  </si>
  <si>
    <t>Mostrar alerta si no hay stock</t>
  </si>
  <si>
    <t>Avisar al usuario</t>
  </si>
  <si>
    <t>Evitar incertidumbre</t>
  </si>
  <si>
    <t>Asignar dispositivo disponible automáticamente</t>
  </si>
  <si>
    <t>Reducir intervención y errores humanos</t>
  </si>
  <si>
    <t>Depende de RF09</t>
  </si>
  <si>
    <t>Algoritmo de selección</t>
  </si>
  <si>
    <t>Escoger el dispositivo adecuado</t>
  </si>
  <si>
    <t>Automatización real</t>
  </si>
  <si>
    <t>Actualizar estado a Prestado</t>
  </si>
  <si>
    <t>Reflejar la reserva física</t>
  </si>
  <si>
    <t>Consistencia del stock</t>
  </si>
  <si>
    <t>Confirmación en UI</t>
  </si>
  <si>
    <t>Mostrar dispositivo asignado</t>
  </si>
  <si>
    <t>Feedback al usuario</t>
  </si>
  <si>
    <t>Código único de préstamo</t>
  </si>
  <si>
    <t>Recibir un código único al aprobar la solicitud</t>
  </si>
  <si>
    <t>Retirar físicamente el dispositivo</t>
  </si>
  <si>
    <t>Se usa en entrega RF-05</t>
  </si>
  <si>
    <t>Generar código único</t>
  </si>
  <si>
    <t>Identificador único en BD</t>
  </si>
  <si>
    <t>Trazabilidad completa</t>
  </si>
  <si>
    <t>Mostrar código al usuario</t>
  </si>
  <si>
    <t>Visualizar código claramente</t>
  </si>
  <si>
    <t>Retiro rápido</t>
  </si>
  <si>
    <t>UI</t>
  </si>
  <si>
    <t>Registrar, editar y cambiar estado de dispositivos</t>
  </si>
  <si>
    <t>Mantener inventario real y actualizado</t>
  </si>
  <si>
    <t>CRUD mínimo MVP</t>
  </si>
  <si>
    <t>CRUD dispositivos</t>
  </si>
  <si>
    <t>Registrar nuevos o existentes</t>
  </si>
  <si>
    <t>Control de stock oficial</t>
  </si>
  <si>
    <t>Cambiar estado dispositivo</t>
  </si>
  <si>
    <t>Marcar prestado, mantenimiento, disponible</t>
  </si>
  <si>
    <t>Flujo correcto de préstamos</t>
  </si>
  <si>
    <t>Moisés Benalcázar</t>
  </si>
  <si>
    <t>Mateo Medranda</t>
  </si>
  <si>
    <t>Dia 7</t>
  </si>
  <si>
    <t>Dia 6</t>
  </si>
  <si>
    <t>Durante el proceso de desarrollo del producto software,podemos ver q el burndown chart del Sprint 1 refleja un avance progresivo, con mayor carga de trabajo ejecutada en los primeros 4 días. La curva real sigue una tendencia cercana a la curva ideal, demostrando una buena planificación y control de las tareas. Se observa un cierre del sprint sin trabajo pendiente, lo cual indica una correcta gestión del tiempo y de la carga asignada.</t>
  </si>
  <si>
    <t>Sábado</t>
  </si>
  <si>
    <t>Domingo</t>
  </si>
  <si>
    <t>Lunes</t>
  </si>
  <si>
    <t>Martes</t>
  </si>
  <si>
    <t>Miércoles</t>
  </si>
  <si>
    <t>Jueves</t>
  </si>
  <si>
    <t>Viernes</t>
  </si>
  <si>
    <t>RF03</t>
  </si>
  <si>
    <t>RF03-1</t>
  </si>
  <si>
    <t>RF03-2</t>
  </si>
  <si>
    <t>RF03-3</t>
  </si>
  <si>
    <t>RF04</t>
  </si>
  <si>
    <t>RF04-1</t>
  </si>
  <si>
    <t>RF04-2</t>
  </si>
  <si>
    <t>RF06-3</t>
  </si>
  <si>
    <t>RF07</t>
  </si>
  <si>
    <t>RF07-1</t>
  </si>
  <si>
    <t>RF07-2</t>
  </si>
  <si>
    <t>RF08</t>
  </si>
  <si>
    <t>RF08-1</t>
  </si>
  <si>
    <t>RF08-2</t>
  </si>
  <si>
    <t>asi podré…</t>
  </si>
  <si>
    <t>REQ09-1</t>
  </si>
  <si>
    <t>Cargar horario docente</t>
  </si>
  <si>
    <t>Obtener franja horaria desde Banner</t>
  </si>
  <si>
    <t>Validar solicitudes dentro de horario</t>
  </si>
  <si>
    <t>Integración Banner</t>
  </si>
  <si>
    <t>REQ09-2</t>
  </si>
  <si>
    <t>Solicitud dentro de franja</t>
  </si>
  <si>
    <t>Permitir selección de dispositivo</t>
  </si>
  <si>
    <t>Préstamo normal</t>
  </si>
  <si>
    <t>REQ09-3</t>
  </si>
  <si>
    <t>Solicitud fuera de franja</t>
  </si>
  <si>
    <t>Ingresar fecha y hora libre</t>
  </si>
  <si>
    <t>Solicitudes extraordinarias</t>
  </si>
  <si>
    <t>REQ09-4</t>
  </si>
  <si>
    <t>Validar observaciones</t>
  </si>
  <si>
    <t>Forzar campo observaciones</t>
  </si>
  <si>
    <t>Justificar uso fuera de horario</t>
  </si>
  <si>
    <t>Regla de negocio</t>
  </si>
  <si>
    <t>Control de uso excesivo</t>
  </si>
  <si>
    <t>REQ10-1</t>
  </si>
  <si>
    <t>Formulario administrativo</t>
  </si>
  <si>
    <t>Ingresar fecha y hora manual</t>
  </si>
  <si>
    <t>Solicitar préstamo sin franja</t>
  </si>
  <si>
    <t>REQ10-2</t>
  </si>
  <si>
    <t>Campo observaciones</t>
  </si>
  <si>
    <t>Registrar motivo del préstamo</t>
  </si>
  <si>
    <t>Control institucional</t>
  </si>
  <si>
    <t>REQ10-3</t>
  </si>
  <si>
    <t>Verificar estado del dispositivo</t>
  </si>
  <si>
    <t>Evitar conflictos</t>
  </si>
  <si>
    <t>Reusa RF09</t>
  </si>
  <si>
    <t>REQ10-4</t>
  </si>
  <si>
    <t>Límite de solicitudes</t>
  </si>
  <si>
    <t>Restringir frecuencia</t>
  </si>
  <si>
    <t>Evitar abuso</t>
  </si>
  <si>
    <t>Regla negocio</t>
  </si>
  <si>
    <t>Depende servidor correo</t>
  </si>
  <si>
    <t>REQ11-1</t>
  </si>
  <si>
    <t>Detectar retraso</t>
  </si>
  <si>
    <t>Comparar hora devolución vs actual</t>
  </si>
  <si>
    <t>Identificar incumplimientos</t>
  </si>
  <si>
    <t>REQ11-2</t>
  </si>
  <si>
    <t>Identificar rol</t>
  </si>
  <si>
    <t>Determinar tipo de usuario</t>
  </si>
  <si>
    <t>Envío correcto</t>
  </si>
  <si>
    <t>REQ11-3</t>
  </si>
  <si>
    <t>Envío de correos</t>
  </si>
  <si>
    <t>Enviar emails automáticos</t>
  </si>
  <si>
    <t>Notificar a involucrados</t>
  </si>
  <si>
    <t>SMTP</t>
  </si>
  <si>
    <t>REQ11-4</t>
  </si>
  <si>
    <t>Registro interno</t>
  </si>
  <si>
    <t>Guardar notificación en sistema</t>
  </si>
  <si>
    <t>Trazabilidad</t>
  </si>
  <si>
    <t>Analizar uso y tomar decisiones</t>
  </si>
  <si>
    <t>REQ12-1</t>
  </si>
  <si>
    <t>Selección de filtros</t>
  </si>
  <si>
    <t>Elegir criterios de búsqueda</t>
  </si>
  <si>
    <t>Control del reporte</t>
  </si>
  <si>
    <t>REQ12-2</t>
  </si>
  <si>
    <t>Consulta filtrada</t>
  </si>
  <si>
    <t>Obtener datos según filtros</t>
  </si>
  <si>
    <t>Información precisa</t>
  </si>
  <si>
    <t>REQ12-3</t>
  </si>
  <si>
    <t>Vista previa</t>
  </si>
  <si>
    <t>Visualizar resultados</t>
  </si>
  <si>
    <t>Validar antes de exportar</t>
  </si>
  <si>
    <t>REQ12-4</t>
  </si>
  <si>
    <t>Exportar reporte</t>
  </si>
  <si>
    <t>Generar PDF / Excel</t>
  </si>
  <si>
    <t>Uso administrativo</t>
  </si>
  <si>
    <t>Conectado a inventario</t>
  </si>
  <si>
    <t>REQ13-1</t>
  </si>
  <si>
    <t>Cambiar estado a dañado</t>
  </si>
  <si>
    <t>Marcar dispositivo</t>
  </si>
  <si>
    <t>Excluir del préstamo</t>
  </si>
  <si>
    <t>REQ13-2</t>
  </si>
  <si>
    <t>Registrar observaciones</t>
  </si>
  <si>
    <t>Describir daño</t>
  </si>
  <si>
    <t>Historial técnico</t>
  </si>
  <si>
    <t>REQ13-3</t>
  </si>
  <si>
    <t>Adjuntar imágenes</t>
  </si>
  <si>
    <t>Subir evidencia</t>
  </si>
  <si>
    <t>Soporte visual</t>
  </si>
  <si>
    <t>REQ13-4</t>
  </si>
  <si>
    <t>Bloqueo automático</t>
  </si>
  <si>
    <t>Evitar nuevas solicitudes</t>
  </si>
  <si>
    <t>Control del inventario</t>
  </si>
  <si>
    <t>Moisés Benalzázar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</si>
</sst>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0" x14ac:knownFonts="1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b/>
      <sz val="10"/>
      <color theme="1"/>
      <name val="Arial"/>
    </font>
    <font>
      <sz val="8"/>
      <name val="Arial"/>
      <scheme val="minor"/>
    </font>
    <font>
      <sz val="10"/>
      <color theme="4"/>
      <name val="Arial"/>
      <family val="2"/>
      <scheme val="minor"/>
    </font>
    <font>
      <sz val="10"/>
      <color rgb="FF2F5496"/>
      <name val="Arial"/>
      <family val="2"/>
    </font>
    <font>
      <b/>
      <sz val="10"/>
      <color rgb="FF000000"/>
      <name val="Arial"/>
      <scheme val="minor"/>
    </font>
    <font>
      <sz val="10"/>
      <name val="Arial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Roboto"/>
    </font>
    <font>
      <b/>
      <sz val="10"/>
      <name val="Arial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b/>
      <sz val="16"/>
      <color rgb="FFFF0000"/>
      <name val="Arial"/>
      <family val="2"/>
      <scheme val="minor"/>
    </font>
    <font>
      <sz val="16"/>
      <color theme="4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rgb="FF6AA84F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E2FCD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Font="1" applyAlignment="1"/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0" fillId="0" borderId="2" xfId="0" applyFont="1" applyBorder="1" applyAlignment="1"/>
    <xf numFmtId="0" fontId="13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4" fillId="0" borderId="2" xfId="0" applyFont="1" applyBorder="1"/>
    <xf numFmtId="0" fontId="11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0" fillId="0" borderId="2" xfId="0" applyFont="1" applyBorder="1"/>
    <xf numFmtId="0" fontId="10" fillId="0" borderId="2" xfId="0" applyFont="1" applyBorder="1" applyAlignment="1">
      <alignment horizontal="right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3" fillId="6" borderId="1" xfId="0" applyFont="1" applyFill="1" applyBorder="1" applyAlignment="1">
      <alignment horizontal="right"/>
    </xf>
    <xf numFmtId="0" fontId="0" fillId="7" borderId="0" xfId="0" applyFont="1" applyFill="1" applyAlignment="1"/>
    <xf numFmtId="0" fontId="0" fillId="8" borderId="0" xfId="0" applyFont="1" applyFill="1" applyAlignment="1"/>
    <xf numFmtId="0" fontId="0" fillId="0" borderId="1" xfId="0" applyFont="1" applyFill="1" applyBorder="1" applyAlignment="1"/>
    <xf numFmtId="0" fontId="0" fillId="9" borderId="0" xfId="0" applyFont="1" applyFill="1" applyAlignment="1"/>
    <xf numFmtId="0" fontId="16" fillId="0" borderId="0" xfId="0" applyFo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15" fillId="0" borderId="1" xfId="0" applyFont="1" applyFill="1" applyBorder="1" applyAlignment="1"/>
    <xf numFmtId="164" fontId="3" fillId="0" borderId="0" xfId="0" applyNumberFormat="1" applyFo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colors>
    <mruColors>
      <color rgb="FFE2FCD6"/>
      <color rgb="FFE2C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burdonchart!$D$29:$J$29</c:f>
              <c:numCache>
                <c:formatCode>General</c:formatCode>
                <c:ptCount val="7"/>
                <c:pt idx="0">
                  <c:v>48</c:v>
                </c:pt>
                <c:pt idx="1">
                  <c:v>42</c:v>
                </c:pt>
                <c:pt idx="2">
                  <c:v>23</c:v>
                </c:pt>
                <c:pt idx="3">
                  <c:v>11</c:v>
                </c:pt>
                <c:pt idx="4">
                  <c:v>6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burdonchart!$D$30:$J$30</c:f>
              <c:numCache>
                <c:formatCode>0.000</c:formatCode>
                <c:ptCount val="7"/>
                <c:pt idx="0" formatCode="General">
                  <c:v>42</c:v>
                </c:pt>
                <c:pt idx="1">
                  <c:v>35</c:v>
                </c:pt>
                <c:pt idx="2">
                  <c:v>28</c:v>
                </c:pt>
                <c:pt idx="3">
                  <c:v>21</c:v>
                </c:pt>
                <c:pt idx="4">
                  <c:v>14</c:v>
                </c:pt>
                <c:pt idx="5">
                  <c:v>7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765890</xdr:colOff>
      <xdr:row>4</xdr:row>
      <xdr:rowOff>161410</xdr:rowOff>
    </xdr:from>
    <xdr:ext cx="6082871" cy="4202584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25" headerRowCount="0" totalsRowCount="1" headerRowDxfId="4" dataDxfId="3" totalsRowDxfId="2">
  <tableColumns count="1">
    <tableColumn id="1" xr3:uid="{00000000-0010-0000-0000-000001000000}" name="Column1" totalsRowFunction="custom" dataDxfId="1" totalsRowDxfId="0">
      <calculatedColumnFormula>SUM(D4:J4)</calculatedColumnFormula>
      <totalsRowFormula>SUM(D25:J25)</totalsRow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54" zoomScaleNormal="70" workbookViewId="0">
      <selection activeCell="G23" sqref="G23"/>
    </sheetView>
  </sheetViews>
  <sheetFormatPr baseColWidth="10" defaultColWidth="12.6640625" defaultRowHeight="15" customHeight="1" x14ac:dyDescent="0.25"/>
  <cols>
    <col min="1" max="1" width="12.44140625" customWidth="1"/>
    <col min="2" max="2" width="38.88671875" bestFit="1" customWidth="1"/>
    <col min="3" max="3" width="20.44140625" bestFit="1" customWidth="1"/>
    <col min="4" max="4" width="67.109375" bestFit="1" customWidth="1"/>
    <col min="5" max="5" width="66" bestFit="1" customWidth="1"/>
    <col min="6" max="6" width="46.77734375" bestFit="1" customWidth="1"/>
    <col min="7" max="7" width="14.6640625" style="50" bestFit="1" customWidth="1"/>
    <col min="8" max="8" width="16.109375" bestFit="1" customWidth="1"/>
    <col min="9" max="26" width="12.44140625" customWidth="1"/>
  </cols>
  <sheetData>
    <row r="1" spans="1:26" ht="23.4" customHeight="1" x14ac:dyDescent="0.25">
      <c r="A1" s="51" t="s">
        <v>8</v>
      </c>
      <c r="B1" s="51" t="s">
        <v>0</v>
      </c>
      <c r="C1" s="51" t="s">
        <v>21</v>
      </c>
      <c r="D1" s="51" t="s">
        <v>1</v>
      </c>
      <c r="E1" s="51" t="s">
        <v>249</v>
      </c>
      <c r="F1" s="51" t="s">
        <v>2</v>
      </c>
      <c r="G1" s="51" t="s">
        <v>3</v>
      </c>
      <c r="H1" s="51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x14ac:dyDescent="0.25">
      <c r="A2" s="52" t="s">
        <v>93</v>
      </c>
      <c r="B2" s="52" t="s">
        <v>22</v>
      </c>
      <c r="C2" s="52" t="s">
        <v>23</v>
      </c>
      <c r="D2" s="52" t="s">
        <v>24</v>
      </c>
      <c r="E2" s="52" t="s">
        <v>25</v>
      </c>
      <c r="F2" s="52" t="s">
        <v>26</v>
      </c>
      <c r="G2" s="53" t="s">
        <v>6</v>
      </c>
      <c r="H2" s="52" t="s">
        <v>27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6" customHeight="1" x14ac:dyDescent="0.25">
      <c r="A3" s="52" t="s">
        <v>94</v>
      </c>
      <c r="B3" s="52" t="s">
        <v>28</v>
      </c>
      <c r="C3" s="52" t="s">
        <v>29</v>
      </c>
      <c r="D3" s="52" t="s">
        <v>30</v>
      </c>
      <c r="E3" s="52" t="s">
        <v>31</v>
      </c>
      <c r="F3" s="52" t="s">
        <v>32</v>
      </c>
      <c r="G3" s="53" t="s">
        <v>6</v>
      </c>
      <c r="H3" s="52" t="s">
        <v>27</v>
      </c>
    </row>
    <row r="4" spans="1:26" ht="29.4" customHeight="1" x14ac:dyDescent="0.25">
      <c r="A4" s="52" t="s">
        <v>95</v>
      </c>
      <c r="B4" s="52" t="s">
        <v>43</v>
      </c>
      <c r="C4" s="52" t="s">
        <v>44</v>
      </c>
      <c r="D4" s="52" t="s">
        <v>45</v>
      </c>
      <c r="E4" s="52" t="s">
        <v>46</v>
      </c>
      <c r="F4" s="52" t="s">
        <v>47</v>
      </c>
      <c r="G4" s="53" t="s">
        <v>6</v>
      </c>
      <c r="H4" s="52" t="s">
        <v>27</v>
      </c>
    </row>
    <row r="5" spans="1:26" ht="28.2" customHeight="1" x14ac:dyDescent="0.25">
      <c r="A5" s="52" t="s">
        <v>96</v>
      </c>
      <c r="B5" s="52" t="s">
        <v>48</v>
      </c>
      <c r="C5" s="52" t="s">
        <v>44</v>
      </c>
      <c r="D5" s="52" t="s">
        <v>49</v>
      </c>
      <c r="E5" s="52" t="s">
        <v>50</v>
      </c>
      <c r="F5" s="52" t="s">
        <v>51</v>
      </c>
      <c r="G5" s="53" t="s">
        <v>7</v>
      </c>
      <c r="H5" s="52" t="s">
        <v>27</v>
      </c>
    </row>
    <row r="6" spans="1:26" ht="32.4" customHeight="1" x14ac:dyDescent="0.25">
      <c r="A6" s="52" t="s">
        <v>97</v>
      </c>
      <c r="B6" s="52" t="s">
        <v>61</v>
      </c>
      <c r="C6" s="52" t="s">
        <v>53</v>
      </c>
      <c r="D6" s="52" t="s">
        <v>62</v>
      </c>
      <c r="E6" s="52" t="s">
        <v>63</v>
      </c>
      <c r="F6" s="52" t="s">
        <v>64</v>
      </c>
      <c r="G6" s="53" t="s">
        <v>6</v>
      </c>
      <c r="H6" s="52" t="s">
        <v>27</v>
      </c>
    </row>
    <row r="7" spans="1:26" ht="28.8" customHeight="1" x14ac:dyDescent="0.25">
      <c r="A7" s="52" t="s">
        <v>98</v>
      </c>
      <c r="B7" s="52" t="s">
        <v>65</v>
      </c>
      <c r="C7" s="52" t="s">
        <v>53</v>
      </c>
      <c r="D7" s="52" t="s">
        <v>66</v>
      </c>
      <c r="E7" s="52" t="s">
        <v>67</v>
      </c>
      <c r="F7" s="52" t="s">
        <v>68</v>
      </c>
      <c r="G7" s="53" t="s">
        <v>6</v>
      </c>
      <c r="H7" s="52" t="s">
        <v>27</v>
      </c>
    </row>
    <row r="8" spans="1:26" ht="26.4" customHeight="1" x14ac:dyDescent="0.25">
      <c r="A8" s="52" t="s">
        <v>99</v>
      </c>
      <c r="B8" s="52" t="s">
        <v>69</v>
      </c>
      <c r="C8" s="52" t="s">
        <v>23</v>
      </c>
      <c r="D8" s="52" t="s">
        <v>70</v>
      </c>
      <c r="E8" s="52" t="s">
        <v>71</v>
      </c>
      <c r="F8" s="52" t="s">
        <v>72</v>
      </c>
      <c r="G8" s="53" t="s">
        <v>6</v>
      </c>
      <c r="H8" s="52" t="s">
        <v>27</v>
      </c>
    </row>
    <row r="9" spans="1:26" ht="24" customHeight="1" x14ac:dyDescent="0.25">
      <c r="A9" s="52" t="s">
        <v>100</v>
      </c>
      <c r="B9" s="52" t="s">
        <v>73</v>
      </c>
      <c r="C9" s="52" t="s">
        <v>44</v>
      </c>
      <c r="D9" s="52" t="s">
        <v>74</v>
      </c>
      <c r="E9" s="52" t="s">
        <v>75</v>
      </c>
      <c r="F9" s="52" t="s">
        <v>76</v>
      </c>
      <c r="G9" s="53" t="s">
        <v>6</v>
      </c>
      <c r="H9" s="52" t="s">
        <v>27</v>
      </c>
    </row>
    <row r="10" spans="1:26" ht="30" customHeight="1" x14ac:dyDescent="0.25">
      <c r="A10" s="52" t="s">
        <v>101</v>
      </c>
      <c r="B10" s="52" t="s">
        <v>33</v>
      </c>
      <c r="C10" s="52" t="s">
        <v>34</v>
      </c>
      <c r="D10" s="52" t="s">
        <v>35</v>
      </c>
      <c r="E10" s="52" t="s">
        <v>36</v>
      </c>
      <c r="F10" s="52" t="s">
        <v>37</v>
      </c>
      <c r="G10" s="53" t="s">
        <v>6</v>
      </c>
      <c r="H10" s="52" t="s">
        <v>27</v>
      </c>
    </row>
    <row r="11" spans="1:26" ht="28.8" customHeight="1" x14ac:dyDescent="0.25">
      <c r="A11" s="52" t="s">
        <v>102</v>
      </c>
      <c r="B11" s="52" t="s">
        <v>38</v>
      </c>
      <c r="C11" s="52" t="s">
        <v>39</v>
      </c>
      <c r="D11" s="52" t="s">
        <v>40</v>
      </c>
      <c r="E11" s="52" t="s">
        <v>41</v>
      </c>
      <c r="F11" s="52" t="s">
        <v>42</v>
      </c>
      <c r="G11" s="53" t="s">
        <v>7</v>
      </c>
      <c r="H11" s="52" t="s">
        <v>27</v>
      </c>
    </row>
    <row r="12" spans="1:26" ht="27" customHeight="1" x14ac:dyDescent="0.25">
      <c r="A12" s="52" t="s">
        <v>103</v>
      </c>
      <c r="B12" s="52" t="s">
        <v>52</v>
      </c>
      <c r="C12" s="52" t="s">
        <v>53</v>
      </c>
      <c r="D12" s="52" t="s">
        <v>54</v>
      </c>
      <c r="E12" s="52" t="s">
        <v>55</v>
      </c>
      <c r="F12" s="52" t="s">
        <v>56</v>
      </c>
      <c r="G12" s="53" t="s">
        <v>6</v>
      </c>
      <c r="H12" s="52" t="s">
        <v>27</v>
      </c>
    </row>
    <row r="13" spans="1:26" ht="27.6" customHeight="1" x14ac:dyDescent="0.25">
      <c r="A13" s="52" t="s">
        <v>104</v>
      </c>
      <c r="B13" s="52" t="s">
        <v>57</v>
      </c>
      <c r="C13" s="52" t="s">
        <v>5</v>
      </c>
      <c r="D13" s="52" t="s">
        <v>58</v>
      </c>
      <c r="E13" s="52" t="s">
        <v>59</v>
      </c>
      <c r="F13" s="52" t="s">
        <v>60</v>
      </c>
      <c r="G13" s="53" t="s">
        <v>7</v>
      </c>
      <c r="H13" s="52" t="s">
        <v>27</v>
      </c>
    </row>
    <row r="14" spans="1:26" ht="27" customHeight="1" x14ac:dyDescent="0.25">
      <c r="A14" s="52" t="s">
        <v>105</v>
      </c>
      <c r="B14" s="52" t="s">
        <v>77</v>
      </c>
      <c r="C14" s="52" t="s">
        <v>44</v>
      </c>
      <c r="D14" s="52" t="s">
        <v>78</v>
      </c>
      <c r="E14" s="52" t="s">
        <v>79</v>
      </c>
      <c r="F14" s="52" t="s">
        <v>80</v>
      </c>
      <c r="G14" s="53" t="s">
        <v>7</v>
      </c>
      <c r="H14" s="52" t="s">
        <v>27</v>
      </c>
    </row>
    <row r="15" spans="1:26" ht="25.8" customHeight="1" x14ac:dyDescent="0.25">
      <c r="A15" s="52" t="s">
        <v>106</v>
      </c>
      <c r="B15" s="52" t="s">
        <v>81</v>
      </c>
      <c r="C15" s="52" t="s">
        <v>44</v>
      </c>
      <c r="D15" s="52" t="s">
        <v>82</v>
      </c>
      <c r="E15" s="52" t="s">
        <v>83</v>
      </c>
      <c r="F15" s="52" t="s">
        <v>84</v>
      </c>
      <c r="G15" s="53" t="s">
        <v>6</v>
      </c>
      <c r="H15" s="52" t="s">
        <v>27</v>
      </c>
    </row>
    <row r="16" spans="1:26" ht="25.2" customHeight="1" x14ac:dyDescent="0.25">
      <c r="A16" s="52" t="s">
        <v>107</v>
      </c>
      <c r="B16" s="52" t="s">
        <v>85</v>
      </c>
      <c r="C16" s="52" t="s">
        <v>53</v>
      </c>
      <c r="D16" s="52" t="s">
        <v>86</v>
      </c>
      <c r="E16" s="52" t="s">
        <v>87</v>
      </c>
      <c r="F16" s="52" t="s">
        <v>88</v>
      </c>
      <c r="G16" s="53" t="s">
        <v>7</v>
      </c>
      <c r="H16" s="52" t="s">
        <v>27</v>
      </c>
    </row>
    <row r="17" spans="1:8" ht="31.2" customHeight="1" x14ac:dyDescent="0.25">
      <c r="A17" s="52" t="s">
        <v>108</v>
      </c>
      <c r="B17" s="52" t="s">
        <v>89</v>
      </c>
      <c r="C17" s="52" t="s">
        <v>23</v>
      </c>
      <c r="D17" s="52" t="s">
        <v>90</v>
      </c>
      <c r="E17" s="52" t="s">
        <v>91</v>
      </c>
      <c r="F17" s="52" t="s">
        <v>92</v>
      </c>
      <c r="G17" s="53" t="s">
        <v>7</v>
      </c>
      <c r="H17" s="52" t="s">
        <v>27</v>
      </c>
    </row>
    <row r="18" spans="1:8" ht="15.75" customHeight="1" x14ac:dyDescent="0.25"/>
    <row r="19" spans="1:8" ht="15.75" customHeight="1" x14ac:dyDescent="0.25"/>
    <row r="20" spans="1:8" ht="15.75" customHeight="1" x14ac:dyDescent="0.25"/>
    <row r="21" spans="1:8" ht="15.75" customHeight="1" x14ac:dyDescent="0.25"/>
    <row r="22" spans="1:8" ht="15.75" customHeight="1" x14ac:dyDescent="0.25"/>
    <row r="23" spans="1:8" ht="13.2" x14ac:dyDescent="0.25">
      <c r="A23" s="9"/>
      <c r="B23" s="9"/>
      <c r="C23" s="9"/>
      <c r="D23" s="9"/>
      <c r="E23" s="9"/>
      <c r="F23" s="9"/>
      <c r="G23" s="49"/>
      <c r="H23" s="9"/>
    </row>
    <row r="24" spans="1:8" ht="15.75" customHeight="1" x14ac:dyDescent="0.25">
      <c r="A24" s="9"/>
      <c r="B24" s="9"/>
      <c r="C24" s="9"/>
      <c r="D24" s="9"/>
      <c r="E24" s="9"/>
      <c r="F24" s="9"/>
      <c r="G24" s="49"/>
      <c r="H24" s="9"/>
    </row>
    <row r="25" spans="1:8" ht="15.75" customHeight="1" x14ac:dyDescent="0.25">
      <c r="A25" s="9"/>
      <c r="B25" s="9"/>
      <c r="C25" s="9"/>
      <c r="D25" s="9"/>
      <c r="E25" s="9"/>
      <c r="F25" s="9"/>
      <c r="G25" s="49"/>
      <c r="H25" s="9"/>
    </row>
    <row r="26" spans="1:8" ht="15.75" customHeight="1" x14ac:dyDescent="0.25">
      <c r="A26" s="9"/>
      <c r="B26" s="9"/>
      <c r="C26" s="9"/>
      <c r="D26" s="9"/>
      <c r="E26" s="9"/>
      <c r="F26" s="9"/>
      <c r="G26" s="49"/>
      <c r="H26" s="9"/>
    </row>
    <row r="27" spans="1:8" ht="15.75" customHeight="1" x14ac:dyDescent="0.25">
      <c r="A27" s="9"/>
      <c r="B27" s="9"/>
      <c r="C27" s="9"/>
      <c r="D27" s="9"/>
      <c r="E27" s="9"/>
      <c r="F27" s="9"/>
      <c r="G27" s="49"/>
      <c r="H27" s="9"/>
    </row>
    <row r="28" spans="1:8" ht="15.75" customHeight="1" x14ac:dyDescent="0.25">
      <c r="A28" s="9"/>
      <c r="B28" s="9"/>
      <c r="C28" s="9"/>
      <c r="D28" s="9"/>
      <c r="E28" s="9"/>
      <c r="F28" s="9"/>
      <c r="G28" s="49"/>
      <c r="H28" s="9"/>
    </row>
    <row r="29" spans="1:8" ht="15.75" customHeight="1" x14ac:dyDescent="0.25">
      <c r="A29" s="9"/>
      <c r="B29" s="9"/>
      <c r="C29" s="9"/>
      <c r="D29" s="9"/>
      <c r="E29" s="9"/>
      <c r="F29" s="9"/>
      <c r="G29" s="49"/>
      <c r="H29" s="9"/>
    </row>
    <row r="30" spans="1:8" ht="15.75" customHeight="1" x14ac:dyDescent="0.25">
      <c r="A30" s="9"/>
      <c r="B30" s="9"/>
      <c r="C30" s="9"/>
      <c r="D30" s="9"/>
      <c r="E30" s="9"/>
      <c r="F30" s="9"/>
      <c r="G30" s="49"/>
      <c r="H30" s="9"/>
    </row>
    <row r="31" spans="1:8" ht="15.75" customHeight="1" x14ac:dyDescent="0.25">
      <c r="A31" s="9"/>
      <c r="B31" s="9"/>
      <c r="C31" s="9"/>
      <c r="D31" s="9"/>
      <c r="E31" s="9"/>
      <c r="F31" s="9"/>
      <c r="G31" s="49"/>
      <c r="H31" s="9"/>
    </row>
    <row r="32" spans="1:8" ht="15.75" customHeight="1" x14ac:dyDescent="0.25">
      <c r="A32" s="9"/>
      <c r="B32" s="9"/>
      <c r="C32" s="9"/>
      <c r="D32" s="9"/>
      <c r="E32" s="9"/>
      <c r="F32" s="9"/>
      <c r="G32" s="49"/>
      <c r="H32" s="9"/>
    </row>
    <row r="33" spans="1:8" ht="15.75" customHeight="1" x14ac:dyDescent="0.25">
      <c r="A33" s="9"/>
      <c r="B33" s="9"/>
      <c r="C33" s="9"/>
      <c r="D33" s="9"/>
      <c r="E33" s="9"/>
      <c r="F33" s="9"/>
      <c r="G33" s="49"/>
      <c r="H33" s="9"/>
    </row>
    <row r="34" spans="1:8" ht="15.75" customHeight="1" x14ac:dyDescent="0.25">
      <c r="A34" s="9"/>
      <c r="B34" s="9"/>
      <c r="C34" s="9"/>
      <c r="D34" s="9"/>
      <c r="E34" s="9"/>
      <c r="F34" s="9"/>
      <c r="G34" s="49"/>
      <c r="H34" s="9"/>
    </row>
    <row r="35" spans="1:8" ht="15.75" customHeight="1" x14ac:dyDescent="0.25">
      <c r="A35" s="9"/>
      <c r="B35" s="9"/>
      <c r="C35" s="9"/>
      <c r="D35" s="9"/>
      <c r="E35" s="9"/>
      <c r="F35" s="9"/>
      <c r="G35" s="49"/>
      <c r="H35" s="9"/>
    </row>
    <row r="36" spans="1:8" ht="15.75" customHeight="1" x14ac:dyDescent="0.25">
      <c r="A36" s="9"/>
      <c r="B36" s="9"/>
      <c r="C36" s="9"/>
      <c r="D36" s="9"/>
      <c r="E36" s="9"/>
      <c r="F36" s="9"/>
      <c r="G36" s="49"/>
      <c r="H36" s="9"/>
    </row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1"/>
  <sheetViews>
    <sheetView topLeftCell="A4" zoomScale="74" zoomScaleNormal="74" workbookViewId="0">
      <selection activeCell="D13" sqref="D13"/>
    </sheetView>
  </sheetViews>
  <sheetFormatPr baseColWidth="10" defaultColWidth="12.6640625" defaultRowHeight="15" customHeight="1" x14ac:dyDescent="0.25"/>
  <cols>
    <col min="1" max="1" width="12.44140625" customWidth="1"/>
    <col min="2" max="2" width="7.44140625" bestFit="1" customWidth="1"/>
    <col min="3" max="3" width="33.21875" bestFit="1" customWidth="1"/>
    <col min="4" max="4" width="18.88671875" customWidth="1"/>
    <col min="5" max="5" width="42.5546875" bestFit="1" customWidth="1"/>
    <col min="6" max="6" width="34.6640625" bestFit="1" customWidth="1"/>
    <col min="7" max="7" width="16.44140625" bestFit="1" customWidth="1"/>
    <col min="8" max="8" width="21.6640625" bestFit="1" customWidth="1"/>
    <col min="9" max="9" width="12.21875" customWidth="1"/>
    <col min="10" max="10" width="12.44140625" customWidth="1"/>
    <col min="11" max="11" width="5.21875" bestFit="1" customWidth="1"/>
    <col min="12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11" t="s">
        <v>8</v>
      </c>
      <c r="C3" s="11" t="s">
        <v>0</v>
      </c>
      <c r="D3" s="11" t="s">
        <v>21</v>
      </c>
      <c r="E3" s="11" t="s">
        <v>9</v>
      </c>
      <c r="F3" s="11" t="s">
        <v>109</v>
      </c>
      <c r="G3" s="11" t="s">
        <v>110</v>
      </c>
      <c r="H3" s="11" t="s">
        <v>111</v>
      </c>
      <c r="I3" s="11" t="s">
        <v>10</v>
      </c>
      <c r="J3" s="11" t="s">
        <v>11</v>
      </c>
      <c r="K3" s="12" t="s">
        <v>112</v>
      </c>
    </row>
    <row r="4" spans="1:27" ht="18" customHeight="1" x14ac:dyDescent="0.25">
      <c r="A4" s="2"/>
      <c r="B4" s="13" t="s">
        <v>113</v>
      </c>
      <c r="C4" s="14" t="s">
        <v>22</v>
      </c>
      <c r="D4" s="14" t="s">
        <v>23</v>
      </c>
      <c r="E4" s="14" t="s">
        <v>114</v>
      </c>
      <c r="F4" s="14" t="s">
        <v>115</v>
      </c>
      <c r="G4" s="14" t="s">
        <v>223</v>
      </c>
      <c r="H4" s="14" t="s">
        <v>26</v>
      </c>
      <c r="I4" s="14" t="s">
        <v>6</v>
      </c>
      <c r="J4" s="14" t="s">
        <v>27</v>
      </c>
      <c r="K4" s="15">
        <v>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2" x14ac:dyDescent="0.25">
      <c r="A5" s="2"/>
      <c r="B5" s="16" t="s">
        <v>117</v>
      </c>
      <c r="C5" s="16" t="s">
        <v>118</v>
      </c>
      <c r="D5" s="17" t="s">
        <v>119</v>
      </c>
      <c r="E5" s="18" t="s">
        <v>120</v>
      </c>
      <c r="F5" s="17" t="s">
        <v>121</v>
      </c>
      <c r="G5" s="14"/>
      <c r="H5" s="17"/>
      <c r="I5" s="17" t="s">
        <v>6</v>
      </c>
      <c r="J5" s="17" t="s">
        <v>27</v>
      </c>
      <c r="K5" s="19">
        <v>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2"/>
      <c r="B6" s="19" t="s">
        <v>122</v>
      </c>
      <c r="C6" s="19" t="s">
        <v>123</v>
      </c>
      <c r="D6" s="19" t="s">
        <v>119</v>
      </c>
      <c r="E6" s="19" t="s">
        <v>124</v>
      </c>
      <c r="F6" s="19" t="s">
        <v>125</v>
      </c>
      <c r="G6" s="14"/>
      <c r="H6" s="19"/>
      <c r="I6" s="19" t="s">
        <v>6</v>
      </c>
      <c r="J6" s="20" t="s">
        <v>27</v>
      </c>
      <c r="K6" s="19">
        <v>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2"/>
      <c r="B7" s="19" t="s">
        <v>126</v>
      </c>
      <c r="C7" s="19" t="s">
        <v>127</v>
      </c>
      <c r="D7" s="19" t="s">
        <v>119</v>
      </c>
      <c r="E7" s="19" t="s">
        <v>128</v>
      </c>
      <c r="F7" s="19" t="s">
        <v>129</v>
      </c>
      <c r="G7" s="14"/>
      <c r="H7" s="19" t="s">
        <v>130</v>
      </c>
      <c r="I7" s="19" t="s">
        <v>6</v>
      </c>
      <c r="J7" s="20" t="s">
        <v>27</v>
      </c>
      <c r="K7" s="19">
        <v>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2"/>
      <c r="B8" s="19" t="s">
        <v>131</v>
      </c>
      <c r="C8" s="19" t="s">
        <v>132</v>
      </c>
      <c r="D8" s="19" t="s">
        <v>119</v>
      </c>
      <c r="E8" s="19" t="s">
        <v>133</v>
      </c>
      <c r="F8" s="19" t="s">
        <v>134</v>
      </c>
      <c r="G8" s="14"/>
      <c r="H8" s="19"/>
      <c r="I8" s="19" t="s">
        <v>6</v>
      </c>
      <c r="J8" s="19" t="s">
        <v>27</v>
      </c>
      <c r="K8" s="19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B9" s="3"/>
      <c r="C9" s="3"/>
      <c r="D9" s="3"/>
      <c r="E9" s="3"/>
      <c r="F9" s="3"/>
      <c r="G9" s="3"/>
      <c r="H9" s="3"/>
      <c r="I9" s="3"/>
      <c r="J9" s="3"/>
    </row>
    <row r="10" spans="1:27" ht="15.75" customHeight="1" x14ac:dyDescent="0.25">
      <c r="B10" s="21" t="s">
        <v>8</v>
      </c>
      <c r="C10" s="21" t="s">
        <v>0</v>
      </c>
      <c r="D10" s="21" t="s">
        <v>21</v>
      </c>
      <c r="E10" s="21" t="s">
        <v>9</v>
      </c>
      <c r="F10" s="21" t="s">
        <v>109</v>
      </c>
      <c r="G10" s="21" t="s">
        <v>110</v>
      </c>
      <c r="H10" s="21" t="s">
        <v>111</v>
      </c>
      <c r="I10" s="21" t="s">
        <v>10</v>
      </c>
      <c r="J10" s="21" t="s">
        <v>11</v>
      </c>
      <c r="K10" s="21" t="s">
        <v>112</v>
      </c>
    </row>
    <row r="11" spans="1:27" ht="15.75" customHeight="1" x14ac:dyDescent="0.25">
      <c r="B11" s="22" t="s">
        <v>135</v>
      </c>
      <c r="C11" s="23" t="s">
        <v>28</v>
      </c>
      <c r="D11" s="23" t="s">
        <v>29</v>
      </c>
      <c r="E11" s="23" t="s">
        <v>136</v>
      </c>
      <c r="F11" s="23" t="s">
        <v>137</v>
      </c>
      <c r="G11" s="14" t="s">
        <v>223</v>
      </c>
      <c r="H11" s="23" t="s">
        <v>138</v>
      </c>
      <c r="I11" s="23" t="s">
        <v>6</v>
      </c>
      <c r="J11" s="23" t="s">
        <v>27</v>
      </c>
      <c r="K11" s="22">
        <v>7</v>
      </c>
    </row>
    <row r="12" spans="1:27" ht="15.75" customHeight="1" x14ac:dyDescent="0.25">
      <c r="B12" s="23" t="s">
        <v>139</v>
      </c>
      <c r="C12" s="23" t="s">
        <v>140</v>
      </c>
      <c r="D12" s="23" t="s">
        <v>119</v>
      </c>
      <c r="E12" s="23" t="s">
        <v>141</v>
      </c>
      <c r="F12" s="23" t="s">
        <v>142</v>
      </c>
      <c r="G12" s="23"/>
      <c r="H12" s="23" t="s">
        <v>143</v>
      </c>
      <c r="I12" s="23" t="s">
        <v>6</v>
      </c>
      <c r="J12" s="23" t="s">
        <v>27</v>
      </c>
      <c r="K12" s="23">
        <v>3</v>
      </c>
    </row>
    <row r="13" spans="1:27" ht="15.75" customHeight="1" x14ac:dyDescent="0.25">
      <c r="B13" s="23" t="s">
        <v>144</v>
      </c>
      <c r="C13" s="23" t="s">
        <v>145</v>
      </c>
      <c r="D13" s="23" t="s">
        <v>119</v>
      </c>
      <c r="E13" s="23" t="s">
        <v>146</v>
      </c>
      <c r="F13" s="23" t="s">
        <v>147</v>
      </c>
      <c r="G13" s="23"/>
      <c r="H13" s="23"/>
      <c r="I13" s="23" t="s">
        <v>6</v>
      </c>
      <c r="J13" s="23" t="s">
        <v>27</v>
      </c>
      <c r="K13" s="23">
        <v>2</v>
      </c>
    </row>
    <row r="14" spans="1:27" ht="15.75" customHeight="1" x14ac:dyDescent="0.25">
      <c r="B14" s="23" t="s">
        <v>148</v>
      </c>
      <c r="C14" s="23" t="s">
        <v>149</v>
      </c>
      <c r="D14" s="23" t="s">
        <v>119</v>
      </c>
      <c r="E14" s="23" t="s">
        <v>150</v>
      </c>
      <c r="F14" s="23" t="s">
        <v>151</v>
      </c>
      <c r="G14" s="23"/>
      <c r="H14" s="23"/>
      <c r="I14" s="23" t="s">
        <v>6</v>
      </c>
      <c r="J14" s="23" t="s">
        <v>27</v>
      </c>
      <c r="K14" s="23">
        <v>2</v>
      </c>
    </row>
    <row r="15" spans="1:27" ht="15.75" customHeight="1" x14ac:dyDescent="0.25"/>
    <row r="16" spans="1:27" ht="15.75" customHeight="1" x14ac:dyDescent="0.25">
      <c r="B16" s="21" t="s">
        <v>8</v>
      </c>
      <c r="C16" s="21" t="s">
        <v>0</v>
      </c>
      <c r="D16" s="21" t="s">
        <v>21</v>
      </c>
      <c r="E16" s="21" t="s">
        <v>9</v>
      </c>
      <c r="F16" s="21" t="s">
        <v>109</v>
      </c>
      <c r="G16" s="21" t="s">
        <v>110</v>
      </c>
      <c r="H16" s="21" t="s">
        <v>111</v>
      </c>
      <c r="I16" s="21" t="s">
        <v>10</v>
      </c>
      <c r="J16" s="21" t="s">
        <v>11</v>
      </c>
      <c r="K16" s="21" t="s">
        <v>112</v>
      </c>
    </row>
    <row r="17" spans="2:11" ht="15.75" customHeight="1" x14ac:dyDescent="0.25">
      <c r="B17" s="22" t="s">
        <v>235</v>
      </c>
      <c r="C17" s="23" t="s">
        <v>153</v>
      </c>
      <c r="D17" s="23" t="s">
        <v>44</v>
      </c>
      <c r="E17" s="23" t="s">
        <v>154</v>
      </c>
      <c r="F17" s="23" t="s">
        <v>155</v>
      </c>
      <c r="G17" s="24" t="s">
        <v>116</v>
      </c>
      <c r="H17" s="23" t="s">
        <v>156</v>
      </c>
      <c r="I17" s="23" t="s">
        <v>6</v>
      </c>
      <c r="J17" s="23" t="s">
        <v>27</v>
      </c>
      <c r="K17" s="22">
        <v>9</v>
      </c>
    </row>
    <row r="18" spans="2:11" ht="15.75" customHeight="1" x14ac:dyDescent="0.25">
      <c r="B18" s="23" t="s">
        <v>236</v>
      </c>
      <c r="C18" s="23" t="s">
        <v>158</v>
      </c>
      <c r="D18" s="23" t="s">
        <v>119</v>
      </c>
      <c r="E18" s="23" t="s">
        <v>159</v>
      </c>
      <c r="F18" s="23" t="s">
        <v>160</v>
      </c>
      <c r="G18" s="23"/>
      <c r="H18" s="23"/>
      <c r="I18" s="23" t="s">
        <v>6</v>
      </c>
      <c r="J18" s="23" t="s">
        <v>27</v>
      </c>
      <c r="K18" s="23">
        <v>4</v>
      </c>
    </row>
    <row r="19" spans="2:11" ht="15.75" customHeight="1" x14ac:dyDescent="0.25">
      <c r="B19" s="23" t="s">
        <v>237</v>
      </c>
      <c r="C19" s="23" t="s">
        <v>162</v>
      </c>
      <c r="D19" s="23" t="s">
        <v>119</v>
      </c>
      <c r="E19" s="23" t="s">
        <v>163</v>
      </c>
      <c r="F19" s="23" t="s">
        <v>164</v>
      </c>
      <c r="G19" s="23"/>
      <c r="H19" s="23" t="s">
        <v>165</v>
      </c>
      <c r="I19" s="23" t="s">
        <v>6</v>
      </c>
      <c r="J19" s="23" t="s">
        <v>27</v>
      </c>
      <c r="K19" s="23">
        <v>2</v>
      </c>
    </row>
    <row r="20" spans="2:11" ht="15.75" customHeight="1" x14ac:dyDescent="0.25">
      <c r="B20" s="23" t="s">
        <v>238</v>
      </c>
      <c r="C20" s="23" t="s">
        <v>166</v>
      </c>
      <c r="D20" s="23" t="s">
        <v>119</v>
      </c>
      <c r="E20" s="23" t="s">
        <v>167</v>
      </c>
      <c r="F20" s="23" t="s">
        <v>168</v>
      </c>
      <c r="G20" s="23"/>
      <c r="H20" s="23"/>
      <c r="I20" s="23" t="s">
        <v>6</v>
      </c>
      <c r="J20" s="23" t="s">
        <v>27</v>
      </c>
      <c r="K20" s="23">
        <v>3</v>
      </c>
    </row>
    <row r="21" spans="2:11" ht="15.75" customHeight="1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2:11" ht="15.75" customHeight="1" x14ac:dyDescent="0.25">
      <c r="B22" s="21" t="s">
        <v>8</v>
      </c>
      <c r="C22" s="21" t="s">
        <v>0</v>
      </c>
      <c r="D22" s="21" t="s">
        <v>21</v>
      </c>
      <c r="E22" s="21" t="s">
        <v>9</v>
      </c>
      <c r="F22" s="21" t="s">
        <v>109</v>
      </c>
      <c r="G22" s="21" t="s">
        <v>110</v>
      </c>
      <c r="H22" s="21" t="s">
        <v>111</v>
      </c>
      <c r="I22" s="21" t="s">
        <v>10</v>
      </c>
      <c r="J22" s="21" t="s">
        <v>11</v>
      </c>
      <c r="K22" s="21" t="s">
        <v>112</v>
      </c>
    </row>
    <row r="23" spans="2:11" ht="15.75" customHeight="1" x14ac:dyDescent="0.25">
      <c r="B23" s="22" t="s">
        <v>239</v>
      </c>
      <c r="C23" s="23" t="s">
        <v>48</v>
      </c>
      <c r="D23" s="23" t="s">
        <v>44</v>
      </c>
      <c r="E23" s="23" t="s">
        <v>170</v>
      </c>
      <c r="F23" s="23" t="s">
        <v>171</v>
      </c>
      <c r="G23" s="24" t="s">
        <v>116</v>
      </c>
      <c r="H23" s="23" t="s">
        <v>172</v>
      </c>
      <c r="I23" s="23" t="s">
        <v>7</v>
      </c>
      <c r="J23" s="23" t="s">
        <v>27</v>
      </c>
      <c r="K23" s="22">
        <v>5</v>
      </c>
    </row>
    <row r="24" spans="2:11" ht="15.75" customHeight="1" x14ac:dyDescent="0.25">
      <c r="B24" s="23" t="s">
        <v>240</v>
      </c>
      <c r="C24" s="23" t="s">
        <v>174</v>
      </c>
      <c r="D24" s="23" t="s">
        <v>119</v>
      </c>
      <c r="E24" s="23" t="s">
        <v>175</v>
      </c>
      <c r="F24" s="23" t="s">
        <v>176</v>
      </c>
      <c r="G24" s="23"/>
      <c r="H24" s="23"/>
      <c r="I24" s="23" t="s">
        <v>7</v>
      </c>
      <c r="J24" s="23" t="s">
        <v>27</v>
      </c>
      <c r="K24" s="23">
        <v>2</v>
      </c>
    </row>
    <row r="25" spans="2:11" ht="15.75" customHeight="1" x14ac:dyDescent="0.25">
      <c r="B25" s="23" t="s">
        <v>241</v>
      </c>
      <c r="C25" s="23" t="s">
        <v>178</v>
      </c>
      <c r="D25" s="23" t="s">
        <v>119</v>
      </c>
      <c r="E25" s="23" t="s">
        <v>179</v>
      </c>
      <c r="F25" s="23" t="s">
        <v>180</v>
      </c>
      <c r="G25" s="23"/>
      <c r="H25" s="23"/>
      <c r="I25" s="23" t="s">
        <v>7</v>
      </c>
      <c r="J25" s="23" t="s">
        <v>27</v>
      </c>
      <c r="K25" s="23">
        <v>3</v>
      </c>
    </row>
    <row r="26" spans="2:11" ht="15.75" customHeight="1" x14ac:dyDescent="0.25"/>
    <row r="27" spans="2:11" ht="15.75" customHeight="1" x14ac:dyDescent="0.25">
      <c r="B27" s="21" t="s">
        <v>8</v>
      </c>
      <c r="C27" s="21" t="s">
        <v>0</v>
      </c>
      <c r="D27" s="21" t="s">
        <v>21</v>
      </c>
      <c r="E27" s="21" t="s">
        <v>9</v>
      </c>
      <c r="F27" s="21" t="s">
        <v>109</v>
      </c>
      <c r="G27" s="21" t="s">
        <v>110</v>
      </c>
      <c r="H27" s="21" t="s">
        <v>111</v>
      </c>
      <c r="I27" s="21" t="s">
        <v>10</v>
      </c>
      <c r="J27" s="21" t="s">
        <v>11</v>
      </c>
      <c r="K27" s="21" t="s">
        <v>112</v>
      </c>
    </row>
    <row r="28" spans="2:11" ht="15.75" customHeight="1" x14ac:dyDescent="0.25">
      <c r="B28" s="22" t="s">
        <v>152</v>
      </c>
      <c r="C28" s="23" t="s">
        <v>181</v>
      </c>
      <c r="D28" s="23" t="s">
        <v>53</v>
      </c>
      <c r="E28" s="23" t="s">
        <v>182</v>
      </c>
      <c r="F28" s="23" t="s">
        <v>183</v>
      </c>
      <c r="G28" s="24" t="s">
        <v>224</v>
      </c>
      <c r="H28" s="23" t="s">
        <v>184</v>
      </c>
      <c r="I28" s="23" t="s">
        <v>6</v>
      </c>
      <c r="J28" s="23" t="s">
        <v>27</v>
      </c>
      <c r="K28" s="22">
        <v>4</v>
      </c>
    </row>
    <row r="29" spans="2:11" ht="15.75" customHeight="1" x14ac:dyDescent="0.25">
      <c r="B29" s="23" t="s">
        <v>157</v>
      </c>
      <c r="C29" s="23" t="s">
        <v>185</v>
      </c>
      <c r="D29" s="23" t="s">
        <v>119</v>
      </c>
      <c r="E29" s="23" t="s">
        <v>186</v>
      </c>
      <c r="F29" s="23" t="s">
        <v>187</v>
      </c>
      <c r="G29" s="23"/>
      <c r="H29" s="23"/>
      <c r="I29" s="23" t="s">
        <v>6</v>
      </c>
      <c r="J29" s="23" t="s">
        <v>27</v>
      </c>
      <c r="K29" s="23">
        <v>2</v>
      </c>
    </row>
    <row r="30" spans="2:11" ht="15.75" customHeight="1" x14ac:dyDescent="0.25">
      <c r="B30" s="23" t="s">
        <v>161</v>
      </c>
      <c r="C30" s="23" t="s">
        <v>188</v>
      </c>
      <c r="D30" s="23" t="s">
        <v>119</v>
      </c>
      <c r="E30" s="23" t="s">
        <v>189</v>
      </c>
      <c r="F30" s="23" t="s">
        <v>190</v>
      </c>
      <c r="G30" s="23"/>
      <c r="H30" s="23"/>
      <c r="I30" s="23" t="s">
        <v>6</v>
      </c>
      <c r="J30" s="23" t="s">
        <v>27</v>
      </c>
      <c r="K30" s="23">
        <v>2</v>
      </c>
    </row>
    <row r="31" spans="2:11" ht="15.75" customHeight="1" x14ac:dyDescent="0.25"/>
    <row r="32" spans="2:11" ht="15.75" customHeight="1" x14ac:dyDescent="0.25">
      <c r="B32" s="21" t="s">
        <v>8</v>
      </c>
      <c r="C32" s="21" t="s">
        <v>0</v>
      </c>
      <c r="D32" s="21" t="s">
        <v>21</v>
      </c>
      <c r="E32" s="21" t="s">
        <v>9</v>
      </c>
      <c r="F32" s="21" t="s">
        <v>109</v>
      </c>
      <c r="G32" s="21" t="s">
        <v>110</v>
      </c>
      <c r="H32" s="21" t="s">
        <v>111</v>
      </c>
      <c r="I32" s="21" t="s">
        <v>10</v>
      </c>
      <c r="J32" s="21" t="s">
        <v>11</v>
      </c>
      <c r="K32" s="21" t="s">
        <v>112</v>
      </c>
    </row>
    <row r="33" spans="2:11" ht="15.75" customHeight="1" x14ac:dyDescent="0.25">
      <c r="B33" s="22" t="s">
        <v>169</v>
      </c>
      <c r="C33" s="23" t="s">
        <v>65</v>
      </c>
      <c r="D33" s="23" t="s">
        <v>53</v>
      </c>
      <c r="E33" s="23" t="s">
        <v>191</v>
      </c>
      <c r="F33" s="23" t="s">
        <v>192</v>
      </c>
      <c r="G33" s="24" t="s">
        <v>224</v>
      </c>
      <c r="H33" s="23" t="s">
        <v>193</v>
      </c>
      <c r="I33" s="23" t="s">
        <v>6</v>
      </c>
      <c r="J33" s="23" t="s">
        <v>27</v>
      </c>
      <c r="K33" s="22">
        <v>8</v>
      </c>
    </row>
    <row r="34" spans="2:11" ht="15.75" customHeight="1" x14ac:dyDescent="0.25">
      <c r="B34" s="23" t="s">
        <v>173</v>
      </c>
      <c r="C34" s="23" t="s">
        <v>194</v>
      </c>
      <c r="D34" s="23" t="s">
        <v>119</v>
      </c>
      <c r="E34" s="23" t="s">
        <v>195</v>
      </c>
      <c r="F34" s="23" t="s">
        <v>196</v>
      </c>
      <c r="G34" s="23"/>
      <c r="H34" s="23"/>
      <c r="I34" s="23" t="s">
        <v>6</v>
      </c>
      <c r="J34" s="23" t="s">
        <v>27</v>
      </c>
      <c r="K34" s="23">
        <v>3</v>
      </c>
    </row>
    <row r="35" spans="2:11" ht="15.75" customHeight="1" x14ac:dyDescent="0.25">
      <c r="B35" s="23" t="s">
        <v>177</v>
      </c>
      <c r="C35" s="23" t="s">
        <v>197</v>
      </c>
      <c r="D35" s="23" t="s">
        <v>119</v>
      </c>
      <c r="E35" s="23" t="s">
        <v>198</v>
      </c>
      <c r="F35" s="23" t="s">
        <v>199</v>
      </c>
      <c r="G35" s="23"/>
      <c r="H35" s="23"/>
      <c r="I35" s="23" t="s">
        <v>6</v>
      </c>
      <c r="J35" s="23" t="s">
        <v>27</v>
      </c>
      <c r="K35" s="23">
        <v>2</v>
      </c>
    </row>
    <row r="36" spans="2:11" ht="15.75" customHeight="1" x14ac:dyDescent="0.25">
      <c r="B36" s="23" t="s">
        <v>242</v>
      </c>
      <c r="C36" s="23" t="s">
        <v>200</v>
      </c>
      <c r="D36" s="23" t="s">
        <v>119</v>
      </c>
      <c r="E36" s="23" t="s">
        <v>201</v>
      </c>
      <c r="F36" s="23" t="s">
        <v>202</v>
      </c>
      <c r="G36" s="23"/>
      <c r="H36" s="23"/>
      <c r="I36" s="23" t="s">
        <v>6</v>
      </c>
      <c r="J36" s="23" t="s">
        <v>27</v>
      </c>
      <c r="K36" s="23">
        <v>3</v>
      </c>
    </row>
    <row r="37" spans="2:11" ht="15.75" customHeight="1" x14ac:dyDescent="0.25"/>
    <row r="38" spans="2:11" ht="15.75" customHeight="1" x14ac:dyDescent="0.25">
      <c r="B38" s="21" t="s">
        <v>8</v>
      </c>
      <c r="C38" s="21" t="s">
        <v>0</v>
      </c>
      <c r="D38" s="21" t="s">
        <v>21</v>
      </c>
      <c r="E38" s="21" t="s">
        <v>9</v>
      </c>
      <c r="F38" s="21" t="s">
        <v>109</v>
      </c>
      <c r="G38" s="21" t="s">
        <v>110</v>
      </c>
      <c r="H38" s="21" t="s">
        <v>111</v>
      </c>
      <c r="I38" s="21" t="s">
        <v>10</v>
      </c>
      <c r="J38" s="21" t="s">
        <v>11</v>
      </c>
      <c r="K38" s="21" t="s">
        <v>112</v>
      </c>
    </row>
    <row r="39" spans="2:11" ht="15.75" customHeight="1" x14ac:dyDescent="0.25">
      <c r="B39" s="22" t="s">
        <v>243</v>
      </c>
      <c r="C39" s="23" t="s">
        <v>203</v>
      </c>
      <c r="D39" s="23" t="s">
        <v>23</v>
      </c>
      <c r="E39" s="23" t="s">
        <v>204</v>
      </c>
      <c r="F39" s="23" t="s">
        <v>205</v>
      </c>
      <c r="G39" s="24" t="s">
        <v>224</v>
      </c>
      <c r="H39" s="23" t="s">
        <v>206</v>
      </c>
      <c r="I39" s="23" t="s">
        <v>6</v>
      </c>
      <c r="J39" s="23" t="s">
        <v>27</v>
      </c>
      <c r="K39" s="22">
        <v>3</v>
      </c>
    </row>
    <row r="40" spans="2:11" ht="15.75" customHeight="1" x14ac:dyDescent="0.25">
      <c r="B40" s="23" t="s">
        <v>244</v>
      </c>
      <c r="C40" s="23" t="s">
        <v>207</v>
      </c>
      <c r="D40" s="23" t="s">
        <v>119</v>
      </c>
      <c r="E40" s="23" t="s">
        <v>208</v>
      </c>
      <c r="F40" s="23" t="s">
        <v>209</v>
      </c>
      <c r="G40" s="23"/>
      <c r="H40" s="23"/>
      <c r="I40" s="23" t="s">
        <v>6</v>
      </c>
      <c r="J40" s="23" t="s">
        <v>27</v>
      </c>
      <c r="K40" s="23">
        <v>2</v>
      </c>
    </row>
    <row r="41" spans="2:11" ht="15.75" customHeight="1" x14ac:dyDescent="0.25">
      <c r="B41" s="23" t="s">
        <v>245</v>
      </c>
      <c r="C41" s="23" t="s">
        <v>210</v>
      </c>
      <c r="D41" s="23" t="s">
        <v>119</v>
      </c>
      <c r="E41" s="23" t="s">
        <v>211</v>
      </c>
      <c r="F41" s="23" t="s">
        <v>212</v>
      </c>
      <c r="G41" s="23"/>
      <c r="H41" s="23" t="s">
        <v>213</v>
      </c>
      <c r="I41" s="23" t="s">
        <v>6</v>
      </c>
      <c r="J41" s="23" t="s">
        <v>27</v>
      </c>
      <c r="K41" s="23">
        <v>1</v>
      </c>
    </row>
    <row r="42" spans="2:11" ht="15.75" customHeight="1" x14ac:dyDescent="0.25"/>
    <row r="43" spans="2:11" ht="15.75" customHeight="1" x14ac:dyDescent="0.25">
      <c r="B43" s="21" t="s">
        <v>8</v>
      </c>
      <c r="C43" s="21" t="s">
        <v>0</v>
      </c>
      <c r="D43" s="21" t="s">
        <v>21</v>
      </c>
      <c r="E43" s="21" t="s">
        <v>9</v>
      </c>
      <c r="F43" s="21" t="s">
        <v>109</v>
      </c>
      <c r="G43" s="21" t="s">
        <v>110</v>
      </c>
      <c r="H43" s="21" t="s">
        <v>111</v>
      </c>
      <c r="I43" s="21" t="s">
        <v>10</v>
      </c>
      <c r="J43" s="21" t="s">
        <v>11</v>
      </c>
      <c r="K43" s="21" t="s">
        <v>112</v>
      </c>
    </row>
    <row r="44" spans="2:11" ht="15.75" customHeight="1" x14ac:dyDescent="0.25">
      <c r="B44" s="22" t="s">
        <v>246</v>
      </c>
      <c r="C44" s="23" t="s">
        <v>73</v>
      </c>
      <c r="D44" s="23" t="s">
        <v>44</v>
      </c>
      <c r="E44" s="23" t="s">
        <v>214</v>
      </c>
      <c r="F44" s="23" t="s">
        <v>215</v>
      </c>
      <c r="G44" s="23" t="s">
        <v>116</v>
      </c>
      <c r="H44" s="23" t="s">
        <v>216</v>
      </c>
      <c r="I44" s="23" t="s">
        <v>6</v>
      </c>
      <c r="J44" s="23" t="s">
        <v>27</v>
      </c>
      <c r="K44" s="22">
        <v>8</v>
      </c>
    </row>
    <row r="45" spans="2:11" ht="15.75" customHeight="1" x14ac:dyDescent="0.25">
      <c r="B45" s="23" t="s">
        <v>247</v>
      </c>
      <c r="C45" s="23" t="s">
        <v>217</v>
      </c>
      <c r="D45" s="23" t="s">
        <v>119</v>
      </c>
      <c r="E45" s="23" t="s">
        <v>218</v>
      </c>
      <c r="F45" s="23" t="s">
        <v>219</v>
      </c>
      <c r="G45" s="23"/>
      <c r="H45" s="23"/>
      <c r="I45" s="23" t="s">
        <v>6</v>
      </c>
      <c r="J45" s="23" t="s">
        <v>27</v>
      </c>
      <c r="K45" s="23">
        <v>4</v>
      </c>
    </row>
    <row r="46" spans="2:11" ht="15.75" customHeight="1" x14ac:dyDescent="0.25">
      <c r="B46" s="23" t="s">
        <v>248</v>
      </c>
      <c r="C46" s="23" t="s">
        <v>220</v>
      </c>
      <c r="D46" s="23" t="s">
        <v>119</v>
      </c>
      <c r="E46" s="23" t="s">
        <v>221</v>
      </c>
      <c r="F46" s="23" t="s">
        <v>222</v>
      </c>
      <c r="G46" s="23"/>
      <c r="H46" s="23"/>
      <c r="I46" s="23" t="s">
        <v>6</v>
      </c>
      <c r="J46" s="23" t="s">
        <v>27</v>
      </c>
      <c r="K46" s="23">
        <v>4</v>
      </c>
    </row>
    <row r="47" spans="2:11" ht="15.75" customHeight="1" x14ac:dyDescent="0.25">
      <c r="K47">
        <f>K4+K11+K17+K23+K28+K33+K39+K44</f>
        <v>49</v>
      </c>
    </row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phoneticPr fontId="5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9725-D0EF-486D-9999-72411FD63B75}">
  <sheetPr>
    <outlinePr summaryBelow="0" summaryRight="0"/>
  </sheetPr>
  <dimension ref="A1:AA971"/>
  <sheetViews>
    <sheetView zoomScale="74" zoomScaleNormal="74" workbookViewId="0">
      <selection activeCell="G30" sqref="G30"/>
    </sheetView>
  </sheetViews>
  <sheetFormatPr baseColWidth="10" defaultColWidth="12.6640625" defaultRowHeight="15" customHeight="1" x14ac:dyDescent="0.25"/>
  <cols>
    <col min="1" max="1" width="12.44140625" style="39" customWidth="1"/>
    <col min="2" max="2" width="8.6640625" style="39" bestFit="1" customWidth="1"/>
    <col min="3" max="3" width="33.21875" style="39" bestFit="1" customWidth="1"/>
    <col min="4" max="4" width="18.88671875" style="39" customWidth="1"/>
    <col min="5" max="5" width="42" style="39" bestFit="1" customWidth="1"/>
    <col min="6" max="6" width="40.5546875" style="39" bestFit="1" customWidth="1"/>
    <col min="7" max="7" width="16.44140625" style="39" customWidth="1"/>
    <col min="8" max="8" width="34.6640625" style="39" bestFit="1" customWidth="1"/>
    <col min="9" max="9" width="12.21875" style="39" customWidth="1"/>
    <col min="10" max="10" width="12.44140625" style="39" customWidth="1"/>
    <col min="11" max="11" width="5.21875" style="39" bestFit="1" customWidth="1"/>
    <col min="12" max="27" width="12.44140625" style="39" customWidth="1"/>
    <col min="28" max="16384" width="12.6640625" style="39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10" t="s">
        <v>8</v>
      </c>
      <c r="C3" s="10" t="s">
        <v>0</v>
      </c>
      <c r="D3" s="10" t="s">
        <v>21</v>
      </c>
      <c r="E3" s="10" t="s">
        <v>9</v>
      </c>
      <c r="F3" s="10" t="s">
        <v>109</v>
      </c>
      <c r="G3" s="10" t="s">
        <v>110</v>
      </c>
      <c r="H3" s="10" t="s">
        <v>111</v>
      </c>
      <c r="I3" s="10" t="s">
        <v>10</v>
      </c>
      <c r="J3" s="10" t="s">
        <v>11</v>
      </c>
      <c r="K3" s="10" t="s">
        <v>112</v>
      </c>
    </row>
    <row r="4" spans="1:27" ht="18" customHeight="1" x14ac:dyDescent="0.25">
      <c r="A4" s="2"/>
      <c r="B4" s="57" t="s">
        <v>101</v>
      </c>
      <c r="C4" s="56" t="s">
        <v>33</v>
      </c>
      <c r="D4" s="56" t="s">
        <v>34</v>
      </c>
      <c r="E4" s="56" t="s">
        <v>35</v>
      </c>
      <c r="F4" s="56" t="s">
        <v>36</v>
      </c>
      <c r="G4" s="56" t="s">
        <v>116</v>
      </c>
      <c r="H4" s="56" t="s">
        <v>37</v>
      </c>
      <c r="I4" s="56" t="s">
        <v>6</v>
      </c>
      <c r="J4" s="56" t="s">
        <v>27</v>
      </c>
      <c r="K4" s="57">
        <v>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6.4" x14ac:dyDescent="0.25">
      <c r="A5" s="2"/>
      <c r="B5" s="56" t="s">
        <v>250</v>
      </c>
      <c r="C5" s="56" t="s">
        <v>251</v>
      </c>
      <c r="D5" s="56" t="s">
        <v>119</v>
      </c>
      <c r="E5" s="56" t="s">
        <v>252</v>
      </c>
      <c r="F5" s="56" t="s">
        <v>253</v>
      </c>
      <c r="G5" s="56"/>
      <c r="H5" s="56" t="s">
        <v>254</v>
      </c>
      <c r="I5" s="56" t="s">
        <v>6</v>
      </c>
      <c r="J5" s="56" t="s">
        <v>27</v>
      </c>
      <c r="K5" s="56">
        <v>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2"/>
      <c r="B6" s="56" t="s">
        <v>255</v>
      </c>
      <c r="C6" s="56" t="s">
        <v>256</v>
      </c>
      <c r="D6" s="56" t="s">
        <v>119</v>
      </c>
      <c r="E6" s="56" t="s">
        <v>257</v>
      </c>
      <c r="F6" s="56" t="s">
        <v>258</v>
      </c>
      <c r="G6" s="56"/>
      <c r="H6" s="56"/>
      <c r="I6" s="56" t="s">
        <v>6</v>
      </c>
      <c r="J6" s="56" t="s">
        <v>27</v>
      </c>
      <c r="K6" s="56">
        <v>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2"/>
      <c r="B7" s="56" t="s">
        <v>259</v>
      </c>
      <c r="C7" s="56" t="s">
        <v>260</v>
      </c>
      <c r="D7" s="56" t="s">
        <v>119</v>
      </c>
      <c r="E7" s="56" t="s">
        <v>261</v>
      </c>
      <c r="F7" s="56" t="s">
        <v>262</v>
      </c>
      <c r="G7" s="56"/>
      <c r="H7" s="56"/>
      <c r="I7" s="56" t="s">
        <v>6</v>
      </c>
      <c r="J7" s="56" t="s">
        <v>27</v>
      </c>
      <c r="K7" s="56">
        <v>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2"/>
      <c r="B8" s="56" t="s">
        <v>263</v>
      </c>
      <c r="C8" s="56" t="s">
        <v>264</v>
      </c>
      <c r="D8" s="56" t="s">
        <v>119</v>
      </c>
      <c r="E8" s="56" t="s">
        <v>265</v>
      </c>
      <c r="F8" s="56" t="s">
        <v>266</v>
      </c>
      <c r="G8" s="56"/>
      <c r="H8" s="56" t="s">
        <v>267</v>
      </c>
      <c r="I8" s="56" t="s">
        <v>6</v>
      </c>
      <c r="J8" s="56" t="s">
        <v>27</v>
      </c>
      <c r="K8" s="56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/>
    <row r="10" spans="1:27" ht="15.75" customHeight="1" x14ac:dyDescent="0.25"/>
    <row r="11" spans="1:27" ht="15.75" customHeight="1" x14ac:dyDescent="0.25">
      <c r="B11" s="10" t="s">
        <v>8</v>
      </c>
      <c r="C11" s="10" t="s">
        <v>0</v>
      </c>
      <c r="D11" s="10" t="s">
        <v>21</v>
      </c>
      <c r="E11" s="10" t="s">
        <v>9</v>
      </c>
      <c r="F11" s="10" t="s">
        <v>109</v>
      </c>
      <c r="G11" s="10" t="s">
        <v>110</v>
      </c>
      <c r="H11" s="10" t="s">
        <v>111</v>
      </c>
      <c r="I11" s="10" t="s">
        <v>10</v>
      </c>
      <c r="J11" s="10" t="s">
        <v>11</v>
      </c>
      <c r="K11" s="10" t="s">
        <v>112</v>
      </c>
    </row>
    <row r="12" spans="1:27" ht="15.75" customHeight="1" x14ac:dyDescent="0.25">
      <c r="B12" s="57" t="s">
        <v>102</v>
      </c>
      <c r="C12" s="56" t="s">
        <v>38</v>
      </c>
      <c r="D12" s="56" t="s">
        <v>39</v>
      </c>
      <c r="E12" s="56" t="s">
        <v>40</v>
      </c>
      <c r="F12" s="56" t="s">
        <v>41</v>
      </c>
      <c r="G12" s="56" t="s">
        <v>224</v>
      </c>
      <c r="H12" s="56" t="s">
        <v>268</v>
      </c>
      <c r="I12" s="56" t="s">
        <v>7</v>
      </c>
      <c r="J12" s="56" t="s">
        <v>27</v>
      </c>
      <c r="K12" s="57">
        <v>5</v>
      </c>
    </row>
    <row r="13" spans="1:27" ht="15.75" customHeight="1" x14ac:dyDescent="0.25">
      <c r="B13" s="56" t="s">
        <v>269</v>
      </c>
      <c r="C13" s="56" t="s">
        <v>270</v>
      </c>
      <c r="D13" s="56" t="s">
        <v>119</v>
      </c>
      <c r="E13" s="56" t="s">
        <v>271</v>
      </c>
      <c r="F13" s="56" t="s">
        <v>272</v>
      </c>
      <c r="G13" s="56"/>
      <c r="H13" s="56"/>
      <c r="I13" s="56" t="s">
        <v>7</v>
      </c>
      <c r="J13" s="56" t="s">
        <v>27</v>
      </c>
      <c r="K13" s="56">
        <v>2</v>
      </c>
    </row>
    <row r="14" spans="1:27" ht="15.75" customHeight="1" x14ac:dyDescent="0.25">
      <c r="B14" s="56" t="s">
        <v>273</v>
      </c>
      <c r="C14" s="56" t="s">
        <v>274</v>
      </c>
      <c r="D14" s="56" t="s">
        <v>119</v>
      </c>
      <c r="E14" s="56" t="s">
        <v>275</v>
      </c>
      <c r="F14" s="56" t="s">
        <v>276</v>
      </c>
      <c r="G14" s="56"/>
      <c r="H14" s="56"/>
      <c r="I14" s="56" t="s">
        <v>7</v>
      </c>
      <c r="J14" s="56" t="s">
        <v>27</v>
      </c>
      <c r="K14" s="56">
        <v>1</v>
      </c>
    </row>
    <row r="15" spans="1:27" ht="15.75" customHeight="1" x14ac:dyDescent="0.25">
      <c r="B15" s="56" t="s">
        <v>277</v>
      </c>
      <c r="C15" s="56" t="s">
        <v>181</v>
      </c>
      <c r="D15" s="56" t="s">
        <v>119</v>
      </c>
      <c r="E15" s="56" t="s">
        <v>278</v>
      </c>
      <c r="F15" s="56" t="s">
        <v>279</v>
      </c>
      <c r="G15" s="56"/>
      <c r="H15" s="56" t="s">
        <v>280</v>
      </c>
      <c r="I15" s="56" t="s">
        <v>7</v>
      </c>
      <c r="J15" s="56" t="s">
        <v>27</v>
      </c>
      <c r="K15" s="56">
        <v>1</v>
      </c>
    </row>
    <row r="16" spans="1:27" ht="15.75" customHeight="1" x14ac:dyDescent="0.25">
      <c r="B16" s="56" t="s">
        <v>281</v>
      </c>
      <c r="C16" s="56" t="s">
        <v>282</v>
      </c>
      <c r="D16" s="56" t="s">
        <v>119</v>
      </c>
      <c r="E16" s="56" t="s">
        <v>283</v>
      </c>
      <c r="F16" s="56" t="s">
        <v>284</v>
      </c>
      <c r="G16" s="56"/>
      <c r="H16" s="56" t="s">
        <v>285</v>
      </c>
      <c r="I16" s="56" t="s">
        <v>7</v>
      </c>
      <c r="J16" s="56" t="s">
        <v>27</v>
      </c>
      <c r="K16" s="56">
        <v>1</v>
      </c>
    </row>
    <row r="17" spans="2:11" ht="15.75" customHeight="1" x14ac:dyDescent="0.25"/>
    <row r="18" spans="2:11" ht="15.75" customHeight="1" x14ac:dyDescent="0.25"/>
    <row r="19" spans="2:11" ht="15.75" customHeight="1" x14ac:dyDescent="0.25">
      <c r="B19" s="10" t="s">
        <v>8</v>
      </c>
      <c r="C19" s="10" t="s">
        <v>0</v>
      </c>
      <c r="D19" s="10" t="s">
        <v>21</v>
      </c>
      <c r="E19" s="10" t="s">
        <v>9</v>
      </c>
      <c r="F19" s="10" t="s">
        <v>109</v>
      </c>
      <c r="G19" s="10" t="s">
        <v>110</v>
      </c>
      <c r="H19" s="10" t="s">
        <v>111</v>
      </c>
      <c r="I19" s="10" t="s">
        <v>10</v>
      </c>
      <c r="J19" s="10" t="s">
        <v>11</v>
      </c>
      <c r="K19" s="10" t="s">
        <v>112</v>
      </c>
    </row>
    <row r="20" spans="2:11" ht="15.75" customHeight="1" x14ac:dyDescent="0.25">
      <c r="B20" s="57" t="s">
        <v>103</v>
      </c>
      <c r="C20" s="56" t="s">
        <v>52</v>
      </c>
      <c r="D20" s="56" t="s">
        <v>53</v>
      </c>
      <c r="E20" s="56" t="s">
        <v>54</v>
      </c>
      <c r="F20" s="56" t="s">
        <v>55</v>
      </c>
      <c r="G20" s="56" t="s">
        <v>116</v>
      </c>
      <c r="H20" s="56" t="s">
        <v>286</v>
      </c>
      <c r="I20" s="56" t="s">
        <v>6</v>
      </c>
      <c r="J20" s="56" t="s">
        <v>27</v>
      </c>
      <c r="K20" s="57">
        <v>6</v>
      </c>
    </row>
    <row r="21" spans="2:11" ht="15.75" customHeight="1" x14ac:dyDescent="0.25">
      <c r="B21" s="56" t="s">
        <v>287</v>
      </c>
      <c r="C21" s="56" t="s">
        <v>288</v>
      </c>
      <c r="D21" s="56" t="s">
        <v>119</v>
      </c>
      <c r="E21" s="56" t="s">
        <v>289</v>
      </c>
      <c r="F21" s="56" t="s">
        <v>290</v>
      </c>
      <c r="G21" s="56"/>
      <c r="H21" s="56"/>
      <c r="I21" s="56" t="s">
        <v>6</v>
      </c>
      <c r="J21" s="56" t="s">
        <v>27</v>
      </c>
      <c r="K21" s="56">
        <v>2</v>
      </c>
    </row>
    <row r="22" spans="2:11" ht="15.75" customHeight="1" x14ac:dyDescent="0.25">
      <c r="B22" s="56" t="s">
        <v>291</v>
      </c>
      <c r="C22" s="56" t="s">
        <v>292</v>
      </c>
      <c r="D22" s="56" t="s">
        <v>119</v>
      </c>
      <c r="E22" s="56" t="s">
        <v>293</v>
      </c>
      <c r="F22" s="56" t="s">
        <v>294</v>
      </c>
      <c r="G22" s="56"/>
      <c r="H22" s="56"/>
      <c r="I22" s="56" t="s">
        <v>6</v>
      </c>
      <c r="J22" s="56" t="s">
        <v>27</v>
      </c>
      <c r="K22" s="56">
        <v>1</v>
      </c>
    </row>
    <row r="23" spans="2:11" ht="15.75" customHeight="1" x14ac:dyDescent="0.25">
      <c r="B23" s="56" t="s">
        <v>295</v>
      </c>
      <c r="C23" s="56" t="s">
        <v>296</v>
      </c>
      <c r="D23" s="56" t="s">
        <v>119</v>
      </c>
      <c r="E23" s="56" t="s">
        <v>297</v>
      </c>
      <c r="F23" s="56" t="s">
        <v>298</v>
      </c>
      <c r="G23" s="56"/>
      <c r="H23" s="56" t="s">
        <v>299</v>
      </c>
      <c r="I23" s="56" t="s">
        <v>6</v>
      </c>
      <c r="J23" s="56" t="s">
        <v>27</v>
      </c>
      <c r="K23" s="56">
        <v>2</v>
      </c>
    </row>
    <row r="24" spans="2:11" ht="15.75" customHeight="1" x14ac:dyDescent="0.25">
      <c r="B24" s="56" t="s">
        <v>300</v>
      </c>
      <c r="C24" s="56" t="s">
        <v>301</v>
      </c>
      <c r="D24" s="56" t="s">
        <v>119</v>
      </c>
      <c r="E24" s="56" t="s">
        <v>302</v>
      </c>
      <c r="F24" s="56" t="s">
        <v>303</v>
      </c>
      <c r="G24" s="56"/>
      <c r="H24" s="56"/>
      <c r="I24" s="56" t="s">
        <v>6</v>
      </c>
      <c r="J24" s="56" t="s">
        <v>27</v>
      </c>
      <c r="K24" s="56">
        <v>1</v>
      </c>
    </row>
    <row r="25" spans="2:11" ht="15.75" customHeight="1" x14ac:dyDescent="0.25"/>
    <row r="26" spans="2:11" ht="15.75" customHeight="1" x14ac:dyDescent="0.25"/>
    <row r="27" spans="2:11" ht="15.75" customHeight="1" x14ac:dyDescent="0.25">
      <c r="B27" s="10" t="s">
        <v>8</v>
      </c>
      <c r="C27" s="10" t="s">
        <v>0</v>
      </c>
      <c r="D27" s="10" t="s">
        <v>21</v>
      </c>
      <c r="E27" s="10" t="s">
        <v>9</v>
      </c>
      <c r="F27" s="10" t="s">
        <v>109</v>
      </c>
      <c r="G27" s="10" t="s">
        <v>110</v>
      </c>
      <c r="H27" s="10" t="s">
        <v>111</v>
      </c>
      <c r="I27" s="10" t="s">
        <v>10</v>
      </c>
      <c r="J27" s="10" t="s">
        <v>11</v>
      </c>
      <c r="K27" s="10" t="s">
        <v>112</v>
      </c>
    </row>
    <row r="28" spans="2:11" ht="15.75" customHeight="1" x14ac:dyDescent="0.25">
      <c r="B28" s="57" t="s">
        <v>104</v>
      </c>
      <c r="C28" s="56" t="s">
        <v>57</v>
      </c>
      <c r="D28" s="56" t="s">
        <v>5</v>
      </c>
      <c r="E28" s="56" t="s">
        <v>58</v>
      </c>
      <c r="F28" s="56" t="s">
        <v>304</v>
      </c>
      <c r="G28" s="56" t="s">
        <v>338</v>
      </c>
      <c r="H28" s="56" t="s">
        <v>60</v>
      </c>
      <c r="I28" s="56" t="s">
        <v>7</v>
      </c>
      <c r="J28" s="56" t="s">
        <v>27</v>
      </c>
      <c r="K28" s="57">
        <v>6</v>
      </c>
    </row>
    <row r="29" spans="2:11" ht="15.75" customHeight="1" x14ac:dyDescent="0.25">
      <c r="B29" s="56" t="s">
        <v>305</v>
      </c>
      <c r="C29" s="56" t="s">
        <v>306</v>
      </c>
      <c r="D29" s="56" t="s">
        <v>119</v>
      </c>
      <c r="E29" s="56" t="s">
        <v>307</v>
      </c>
      <c r="F29" s="56" t="s">
        <v>308</v>
      </c>
      <c r="G29" s="56"/>
      <c r="H29" s="56"/>
      <c r="I29" s="56" t="s">
        <v>7</v>
      </c>
      <c r="J29" s="56" t="s">
        <v>27</v>
      </c>
      <c r="K29" s="56">
        <v>2</v>
      </c>
    </row>
    <row r="30" spans="2:11" ht="15.75" customHeight="1" x14ac:dyDescent="0.25">
      <c r="B30" s="56" t="s">
        <v>309</v>
      </c>
      <c r="C30" s="56" t="s">
        <v>310</v>
      </c>
      <c r="D30" s="56" t="s">
        <v>119</v>
      </c>
      <c r="E30" s="56" t="s">
        <v>311</v>
      </c>
      <c r="F30" s="56" t="s">
        <v>312</v>
      </c>
      <c r="G30" s="56"/>
      <c r="H30" s="56"/>
      <c r="I30" s="56" t="s">
        <v>7</v>
      </c>
      <c r="J30" s="56" t="s">
        <v>27</v>
      </c>
      <c r="K30" s="56">
        <v>2</v>
      </c>
    </row>
    <row r="31" spans="2:11" ht="15.75" customHeight="1" x14ac:dyDescent="0.25">
      <c r="B31" s="56" t="s">
        <v>313</v>
      </c>
      <c r="C31" s="56" t="s">
        <v>314</v>
      </c>
      <c r="D31" s="56" t="s">
        <v>119</v>
      </c>
      <c r="E31" s="56" t="s">
        <v>315</v>
      </c>
      <c r="F31" s="56" t="s">
        <v>316</v>
      </c>
      <c r="G31" s="56"/>
      <c r="H31" s="56"/>
      <c r="I31" s="56" t="s">
        <v>7</v>
      </c>
      <c r="J31" s="56" t="s">
        <v>27</v>
      </c>
      <c r="K31" s="56">
        <v>1</v>
      </c>
    </row>
    <row r="32" spans="2:11" ht="15.75" customHeight="1" x14ac:dyDescent="0.25">
      <c r="B32" s="56" t="s">
        <v>317</v>
      </c>
      <c r="C32" s="56" t="s">
        <v>318</v>
      </c>
      <c r="D32" s="56" t="s">
        <v>119</v>
      </c>
      <c r="E32" s="56" t="s">
        <v>319</v>
      </c>
      <c r="F32" s="56" t="s">
        <v>320</v>
      </c>
      <c r="G32" s="56"/>
      <c r="H32" s="56"/>
      <c r="I32" s="56" t="s">
        <v>7</v>
      </c>
      <c r="J32" s="56" t="s">
        <v>27</v>
      </c>
      <c r="K32" s="56">
        <v>1</v>
      </c>
    </row>
    <row r="33" spans="2:11" ht="15.75" customHeight="1" x14ac:dyDescent="0.25"/>
    <row r="34" spans="2:11" ht="15.75" customHeight="1" x14ac:dyDescent="0.25"/>
    <row r="35" spans="2:11" ht="15.75" customHeight="1" x14ac:dyDescent="0.25">
      <c r="B35" s="10" t="s">
        <v>8</v>
      </c>
      <c r="C35" s="10" t="s">
        <v>0</v>
      </c>
      <c r="D35" s="10" t="s">
        <v>21</v>
      </c>
      <c r="E35" s="10" t="s">
        <v>9</v>
      </c>
      <c r="F35" s="10" t="s">
        <v>109</v>
      </c>
      <c r="G35" s="10" t="s">
        <v>110</v>
      </c>
      <c r="H35" s="10" t="s">
        <v>111</v>
      </c>
      <c r="I35" s="10" t="s">
        <v>10</v>
      </c>
      <c r="J35" s="10" t="s">
        <v>11</v>
      </c>
      <c r="K35" s="10" t="s">
        <v>112</v>
      </c>
    </row>
    <row r="36" spans="2:11" ht="15.75" customHeight="1" x14ac:dyDescent="0.25">
      <c r="B36" s="57" t="s">
        <v>105</v>
      </c>
      <c r="C36" s="56" t="s">
        <v>77</v>
      </c>
      <c r="D36" s="56" t="s">
        <v>44</v>
      </c>
      <c r="E36" s="56" t="s">
        <v>78</v>
      </c>
      <c r="F36" s="56" t="s">
        <v>79</v>
      </c>
      <c r="G36" s="56" t="s">
        <v>116</v>
      </c>
      <c r="H36" s="56" t="s">
        <v>321</v>
      </c>
      <c r="I36" s="56" t="s">
        <v>7</v>
      </c>
      <c r="J36" s="56" t="s">
        <v>27</v>
      </c>
      <c r="K36" s="57">
        <v>4</v>
      </c>
    </row>
    <row r="37" spans="2:11" ht="15.75" customHeight="1" x14ac:dyDescent="0.25">
      <c r="B37" s="56" t="s">
        <v>322</v>
      </c>
      <c r="C37" s="56" t="s">
        <v>323</v>
      </c>
      <c r="D37" s="56" t="s">
        <v>119</v>
      </c>
      <c r="E37" s="56" t="s">
        <v>324</v>
      </c>
      <c r="F37" s="56" t="s">
        <v>325</v>
      </c>
      <c r="G37" s="56"/>
      <c r="H37" s="56"/>
      <c r="I37" s="56" t="s">
        <v>7</v>
      </c>
      <c r="J37" s="56" t="s">
        <v>27</v>
      </c>
      <c r="K37" s="56">
        <v>1</v>
      </c>
    </row>
    <row r="38" spans="2:11" ht="15.75" customHeight="1" x14ac:dyDescent="0.25">
      <c r="B38" s="56" t="s">
        <v>326</v>
      </c>
      <c r="C38" s="56" t="s">
        <v>327</v>
      </c>
      <c r="D38" s="56" t="s">
        <v>119</v>
      </c>
      <c r="E38" s="56" t="s">
        <v>328</v>
      </c>
      <c r="F38" s="56" t="s">
        <v>329</v>
      </c>
      <c r="G38" s="56"/>
      <c r="H38" s="56"/>
      <c r="I38" s="56" t="s">
        <v>7</v>
      </c>
      <c r="J38" s="56" t="s">
        <v>27</v>
      </c>
      <c r="K38" s="56">
        <v>1</v>
      </c>
    </row>
    <row r="39" spans="2:11" ht="15.75" customHeight="1" x14ac:dyDescent="0.25">
      <c r="B39" s="56" t="s">
        <v>330</v>
      </c>
      <c r="C39" s="56" t="s">
        <v>331</v>
      </c>
      <c r="D39" s="56" t="s">
        <v>119</v>
      </c>
      <c r="E39" s="56" t="s">
        <v>332</v>
      </c>
      <c r="F39" s="56" t="s">
        <v>333</v>
      </c>
      <c r="G39" s="56"/>
      <c r="H39" s="56"/>
      <c r="I39" s="56" t="s">
        <v>7</v>
      </c>
      <c r="J39" s="56" t="s">
        <v>27</v>
      </c>
      <c r="K39" s="56">
        <v>1</v>
      </c>
    </row>
    <row r="40" spans="2:11" ht="15.75" customHeight="1" x14ac:dyDescent="0.25">
      <c r="B40" s="56" t="s">
        <v>334</v>
      </c>
      <c r="C40" s="56" t="s">
        <v>335</v>
      </c>
      <c r="D40" s="56" t="s">
        <v>119</v>
      </c>
      <c r="E40" s="56" t="s">
        <v>336</v>
      </c>
      <c r="F40" s="56" t="s">
        <v>337</v>
      </c>
      <c r="G40" s="56"/>
      <c r="H40" s="56"/>
      <c r="I40" s="56" t="s">
        <v>7</v>
      </c>
      <c r="J40" s="56" t="s">
        <v>27</v>
      </c>
      <c r="K40" s="56">
        <v>1</v>
      </c>
    </row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25"/>
    <row r="45" spans="2:11" ht="15.75" customHeight="1" x14ac:dyDescent="0.25"/>
    <row r="46" spans="2:11" ht="15.75" customHeight="1" x14ac:dyDescent="0.25"/>
    <row r="47" spans="2:11" ht="15.75" customHeight="1" x14ac:dyDescent="0.25"/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K1004"/>
  <sheetViews>
    <sheetView tabSelected="1" zoomScale="47" zoomScaleNormal="55" workbookViewId="0">
      <selection activeCell="L38" sqref="L38"/>
    </sheetView>
  </sheetViews>
  <sheetFormatPr baseColWidth="10" defaultColWidth="12.6640625" defaultRowHeight="15" customHeight="1" x14ac:dyDescent="0.25"/>
  <cols>
    <col min="1" max="1" width="12.44140625" customWidth="1"/>
    <col min="2" max="2" width="25.77734375" style="40" bestFit="1" customWidth="1"/>
    <col min="3" max="7" width="12.44140625" customWidth="1"/>
    <col min="8" max="9" width="12.44140625" style="8" customWidth="1"/>
    <col min="10" max="10" width="12.44140625" customWidth="1"/>
    <col min="11" max="11" width="17.88671875" style="40" bestFit="1" customWidth="1"/>
    <col min="12" max="28" width="12.44140625" customWidth="1"/>
  </cols>
  <sheetData>
    <row r="1" spans="2:11" ht="15.75" customHeight="1" x14ac:dyDescent="0.25">
      <c r="D1" s="38">
        <v>6</v>
      </c>
      <c r="E1" s="38">
        <v>7</v>
      </c>
      <c r="F1" s="38">
        <v>8</v>
      </c>
      <c r="G1">
        <v>9</v>
      </c>
      <c r="H1" s="8">
        <v>10</v>
      </c>
      <c r="I1" s="38">
        <v>11</v>
      </c>
      <c r="J1" s="38">
        <v>12</v>
      </c>
    </row>
    <row r="2" spans="2:11" ht="15.75" customHeight="1" x14ac:dyDescent="0.25">
      <c r="D2" s="38" t="s">
        <v>228</v>
      </c>
      <c r="E2" s="38" t="s">
        <v>229</v>
      </c>
      <c r="F2" s="38" t="s">
        <v>230</v>
      </c>
      <c r="G2" s="38" t="s">
        <v>231</v>
      </c>
      <c r="H2" s="38" t="s">
        <v>232</v>
      </c>
      <c r="I2" s="38" t="s">
        <v>233</v>
      </c>
      <c r="J2" s="38" t="s">
        <v>234</v>
      </c>
    </row>
    <row r="3" spans="2:11" ht="15.75" customHeight="1" x14ac:dyDescent="0.25">
      <c r="B3" s="43"/>
      <c r="C3" s="30" t="s">
        <v>12</v>
      </c>
      <c r="D3" s="30" t="s">
        <v>225</v>
      </c>
      <c r="E3" s="30" t="s">
        <v>226</v>
      </c>
      <c r="F3" s="30" t="s">
        <v>13</v>
      </c>
      <c r="G3" s="30" t="s">
        <v>14</v>
      </c>
      <c r="H3" s="30" t="s">
        <v>15</v>
      </c>
      <c r="I3" s="30" t="s">
        <v>16</v>
      </c>
      <c r="J3" s="30" t="s">
        <v>17</v>
      </c>
      <c r="K3" s="41" t="s">
        <v>18</v>
      </c>
    </row>
    <row r="4" spans="2:11" ht="13.2" x14ac:dyDescent="0.25">
      <c r="B4" s="44" t="s">
        <v>117</v>
      </c>
      <c r="C4" s="25">
        <v>1</v>
      </c>
      <c r="D4" s="7">
        <v>0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>
        <v>0</v>
      </c>
      <c r="K4" s="42">
        <f t="shared" ref="K4:K24" si="0">SUM(D4:J4)</f>
        <v>1</v>
      </c>
    </row>
    <row r="5" spans="2:11" ht="15.75" customHeight="1" x14ac:dyDescent="0.25">
      <c r="B5" s="45" t="s">
        <v>122</v>
      </c>
      <c r="C5" s="6">
        <v>1</v>
      </c>
      <c r="D5" s="5">
        <v>0</v>
      </c>
      <c r="E5" s="5">
        <v>1</v>
      </c>
      <c r="F5" s="7">
        <v>0</v>
      </c>
      <c r="G5" s="5">
        <v>0</v>
      </c>
      <c r="H5" s="7">
        <v>0</v>
      </c>
      <c r="I5" s="7">
        <v>0</v>
      </c>
      <c r="J5" s="7">
        <v>0</v>
      </c>
      <c r="K5" s="42">
        <f t="shared" si="0"/>
        <v>1</v>
      </c>
    </row>
    <row r="6" spans="2:11" ht="15.75" customHeight="1" x14ac:dyDescent="0.25">
      <c r="B6" s="45" t="s">
        <v>126</v>
      </c>
      <c r="C6" s="26">
        <v>2</v>
      </c>
      <c r="D6">
        <v>0</v>
      </c>
      <c r="E6">
        <v>0</v>
      </c>
      <c r="F6">
        <v>1</v>
      </c>
      <c r="G6">
        <v>0</v>
      </c>
      <c r="H6" s="8">
        <v>1</v>
      </c>
      <c r="I6" s="8">
        <v>0</v>
      </c>
      <c r="J6" s="8">
        <v>0</v>
      </c>
      <c r="K6" s="42">
        <f t="shared" si="0"/>
        <v>2</v>
      </c>
    </row>
    <row r="7" spans="2:11" ht="15.75" customHeight="1" x14ac:dyDescent="0.25">
      <c r="B7" s="45" t="s">
        <v>131</v>
      </c>
      <c r="C7" s="26">
        <v>1</v>
      </c>
      <c r="D7">
        <v>0</v>
      </c>
      <c r="E7">
        <v>0</v>
      </c>
      <c r="F7">
        <v>1</v>
      </c>
      <c r="G7">
        <v>0</v>
      </c>
      <c r="H7" s="8">
        <v>0</v>
      </c>
      <c r="I7" s="8">
        <v>0</v>
      </c>
      <c r="J7" s="8">
        <v>0</v>
      </c>
      <c r="K7" s="42">
        <f t="shared" si="0"/>
        <v>1</v>
      </c>
    </row>
    <row r="8" spans="2:11" s="8" customFormat="1" ht="15.75" customHeight="1" x14ac:dyDescent="0.25">
      <c r="B8" s="46" t="s">
        <v>139</v>
      </c>
      <c r="C8" s="35">
        <v>3</v>
      </c>
      <c r="D8" s="8">
        <v>1</v>
      </c>
      <c r="E8" s="8">
        <v>2</v>
      </c>
      <c r="F8" s="28">
        <v>0</v>
      </c>
      <c r="G8" s="28">
        <v>0</v>
      </c>
      <c r="H8" s="8">
        <v>0</v>
      </c>
      <c r="I8" s="28">
        <v>0</v>
      </c>
      <c r="J8" s="28">
        <v>0</v>
      </c>
      <c r="K8" s="42">
        <f t="shared" si="0"/>
        <v>3</v>
      </c>
    </row>
    <row r="9" spans="2:11" s="8" customFormat="1" ht="15.75" customHeight="1" x14ac:dyDescent="0.25">
      <c r="B9" s="46" t="s">
        <v>144</v>
      </c>
      <c r="C9" s="35">
        <v>2</v>
      </c>
      <c r="D9" s="8">
        <v>0</v>
      </c>
      <c r="E9" s="8">
        <v>1</v>
      </c>
      <c r="F9" s="28">
        <v>1</v>
      </c>
      <c r="G9" s="28">
        <v>0</v>
      </c>
      <c r="H9" s="28">
        <v>0</v>
      </c>
      <c r="I9" s="28">
        <v>0</v>
      </c>
      <c r="J9" s="28">
        <v>0</v>
      </c>
      <c r="K9" s="42">
        <f t="shared" si="0"/>
        <v>2</v>
      </c>
    </row>
    <row r="10" spans="2:11" s="8" customFormat="1" ht="15.75" customHeight="1" x14ac:dyDescent="0.25">
      <c r="B10" s="46" t="s">
        <v>148</v>
      </c>
      <c r="C10" s="35">
        <v>2</v>
      </c>
      <c r="D10" s="8">
        <v>0</v>
      </c>
      <c r="E10" s="8">
        <v>0</v>
      </c>
      <c r="F10" s="28">
        <v>1</v>
      </c>
      <c r="G10" s="28">
        <v>1</v>
      </c>
      <c r="H10" s="8">
        <v>0</v>
      </c>
      <c r="I10" s="8">
        <v>0</v>
      </c>
      <c r="J10" s="8">
        <v>0</v>
      </c>
      <c r="K10" s="42">
        <f t="shared" si="0"/>
        <v>2</v>
      </c>
    </row>
    <row r="11" spans="2:11" s="8" customFormat="1" ht="15.75" customHeight="1" x14ac:dyDescent="0.25">
      <c r="B11" s="46" t="s">
        <v>236</v>
      </c>
      <c r="C11" s="29">
        <v>4</v>
      </c>
      <c r="D11" s="8">
        <v>0</v>
      </c>
      <c r="E11" s="8">
        <v>0</v>
      </c>
      <c r="F11" s="28">
        <v>2</v>
      </c>
      <c r="G11" s="28">
        <v>1</v>
      </c>
      <c r="H11" s="8">
        <v>1</v>
      </c>
      <c r="I11" s="8">
        <v>0</v>
      </c>
      <c r="J11" s="8">
        <v>0</v>
      </c>
      <c r="K11" s="42">
        <f t="shared" si="0"/>
        <v>4</v>
      </c>
    </row>
    <row r="12" spans="2:11" s="8" customFormat="1" ht="15.75" customHeight="1" x14ac:dyDescent="0.25">
      <c r="B12" s="46" t="s">
        <v>237</v>
      </c>
      <c r="C12" s="29">
        <v>2</v>
      </c>
      <c r="D12" s="8">
        <v>0</v>
      </c>
      <c r="E12" s="8">
        <v>1</v>
      </c>
      <c r="F12" s="28">
        <v>1</v>
      </c>
      <c r="G12" s="28">
        <v>0</v>
      </c>
      <c r="H12" s="28">
        <v>0</v>
      </c>
      <c r="I12" s="28">
        <v>0</v>
      </c>
      <c r="J12" s="28">
        <v>0</v>
      </c>
      <c r="K12" s="42">
        <f t="shared" si="0"/>
        <v>2</v>
      </c>
    </row>
    <row r="13" spans="2:11" s="8" customFormat="1" ht="15.75" customHeight="1" x14ac:dyDescent="0.25">
      <c r="B13" s="46" t="s">
        <v>238</v>
      </c>
      <c r="C13" s="29">
        <v>3</v>
      </c>
      <c r="D13" s="8">
        <v>0</v>
      </c>
      <c r="E13" s="8">
        <v>0</v>
      </c>
      <c r="F13" s="28">
        <v>2</v>
      </c>
      <c r="G13" s="28">
        <v>1</v>
      </c>
      <c r="H13" s="8">
        <v>0</v>
      </c>
      <c r="I13" s="8">
        <v>0</v>
      </c>
      <c r="J13" s="8">
        <v>0</v>
      </c>
      <c r="K13" s="42">
        <f t="shared" si="0"/>
        <v>3</v>
      </c>
    </row>
    <row r="14" spans="2:11" s="8" customFormat="1" ht="15.75" customHeight="1" x14ac:dyDescent="0.25">
      <c r="B14" s="46" t="s">
        <v>240</v>
      </c>
      <c r="C14" s="31">
        <v>2</v>
      </c>
      <c r="D14" s="8">
        <v>0</v>
      </c>
      <c r="E14" s="8">
        <v>0</v>
      </c>
      <c r="F14" s="28">
        <v>2</v>
      </c>
      <c r="G14" s="28">
        <v>0</v>
      </c>
      <c r="H14" s="8">
        <v>0</v>
      </c>
      <c r="I14" s="8">
        <v>0</v>
      </c>
      <c r="J14" s="28">
        <v>0</v>
      </c>
      <c r="K14" s="42">
        <f t="shared" si="0"/>
        <v>2</v>
      </c>
    </row>
    <row r="15" spans="2:11" s="8" customFormat="1" ht="15.75" customHeight="1" x14ac:dyDescent="0.25">
      <c r="B15" s="46" t="s">
        <v>241</v>
      </c>
      <c r="C15" s="31">
        <v>3</v>
      </c>
      <c r="D15" s="8">
        <v>0</v>
      </c>
      <c r="E15" s="8">
        <v>0</v>
      </c>
      <c r="F15" s="28">
        <v>2</v>
      </c>
      <c r="G15" s="8">
        <v>1</v>
      </c>
      <c r="H15" s="8">
        <v>0</v>
      </c>
      <c r="I15" s="8">
        <v>0</v>
      </c>
      <c r="J15" s="8">
        <v>0</v>
      </c>
      <c r="K15" s="42">
        <f t="shared" si="0"/>
        <v>3</v>
      </c>
    </row>
    <row r="16" spans="2:11" s="8" customFormat="1" ht="15.75" customHeight="1" x14ac:dyDescent="0.25">
      <c r="B16" s="46" t="s">
        <v>157</v>
      </c>
      <c r="C16" s="33">
        <v>2</v>
      </c>
      <c r="D16" s="8">
        <v>0</v>
      </c>
      <c r="E16" s="8">
        <v>0</v>
      </c>
      <c r="F16" s="28">
        <v>1</v>
      </c>
      <c r="G16" s="8">
        <v>0</v>
      </c>
      <c r="H16" s="28">
        <v>1</v>
      </c>
      <c r="I16" s="8">
        <v>0</v>
      </c>
      <c r="J16" s="8">
        <v>0</v>
      </c>
      <c r="K16" s="42">
        <f t="shared" si="0"/>
        <v>2</v>
      </c>
    </row>
    <row r="17" spans="2:11" s="8" customFormat="1" ht="15.75" customHeight="1" x14ac:dyDescent="0.25">
      <c r="B17" s="46" t="s">
        <v>161</v>
      </c>
      <c r="C17" s="33">
        <v>2</v>
      </c>
      <c r="D17" s="8">
        <v>0</v>
      </c>
      <c r="E17" s="8">
        <v>0</v>
      </c>
      <c r="F17" s="28">
        <v>0</v>
      </c>
      <c r="G17" s="28">
        <v>2</v>
      </c>
      <c r="H17" s="8">
        <v>0</v>
      </c>
      <c r="I17" s="28">
        <v>0</v>
      </c>
      <c r="J17" s="8">
        <v>0</v>
      </c>
      <c r="K17" s="42">
        <f t="shared" si="0"/>
        <v>2</v>
      </c>
    </row>
    <row r="18" spans="2:11" s="8" customFormat="1" ht="15.75" customHeight="1" x14ac:dyDescent="0.25">
      <c r="B18" s="46" t="s">
        <v>173</v>
      </c>
      <c r="C18" s="34">
        <v>3</v>
      </c>
      <c r="D18" s="8">
        <v>0</v>
      </c>
      <c r="E18" s="8">
        <v>1</v>
      </c>
      <c r="F18" s="28">
        <v>1</v>
      </c>
      <c r="G18" s="28">
        <v>1</v>
      </c>
      <c r="H18" s="28">
        <v>0</v>
      </c>
      <c r="I18" s="28">
        <v>0</v>
      </c>
      <c r="J18" s="28">
        <v>0</v>
      </c>
      <c r="K18" s="42">
        <f t="shared" si="0"/>
        <v>3</v>
      </c>
    </row>
    <row r="19" spans="2:11" s="8" customFormat="1" ht="15.75" customHeight="1" x14ac:dyDescent="0.25">
      <c r="B19" s="46" t="s">
        <v>177</v>
      </c>
      <c r="C19" s="34">
        <v>2</v>
      </c>
      <c r="D19" s="8">
        <v>0</v>
      </c>
      <c r="E19" s="8">
        <v>0</v>
      </c>
      <c r="F19" s="28">
        <v>1</v>
      </c>
      <c r="G19" s="28">
        <v>1</v>
      </c>
      <c r="H19" s="8">
        <v>0</v>
      </c>
      <c r="I19" s="8">
        <v>0</v>
      </c>
      <c r="J19" s="28">
        <v>0</v>
      </c>
      <c r="K19" s="42">
        <f t="shared" si="0"/>
        <v>2</v>
      </c>
    </row>
    <row r="20" spans="2:11" s="8" customFormat="1" ht="15.75" customHeight="1" x14ac:dyDescent="0.25">
      <c r="B20" s="46" t="s">
        <v>242</v>
      </c>
      <c r="C20" s="34">
        <v>3</v>
      </c>
      <c r="D20" s="8">
        <v>0</v>
      </c>
      <c r="E20" s="8">
        <v>0</v>
      </c>
      <c r="F20" s="28">
        <v>2</v>
      </c>
      <c r="G20" s="28">
        <v>0</v>
      </c>
      <c r="H20" s="8">
        <v>1</v>
      </c>
      <c r="I20" s="8">
        <v>0</v>
      </c>
      <c r="J20" s="28">
        <v>0</v>
      </c>
      <c r="K20" s="42">
        <f t="shared" si="0"/>
        <v>3</v>
      </c>
    </row>
    <row r="21" spans="2:11" s="8" customFormat="1" ht="15.75" customHeight="1" x14ac:dyDescent="0.25">
      <c r="B21" s="46" t="s">
        <v>244</v>
      </c>
      <c r="C21" s="32">
        <v>2</v>
      </c>
      <c r="D21" s="8">
        <v>0</v>
      </c>
      <c r="E21" s="8">
        <v>0</v>
      </c>
      <c r="F21" s="8">
        <v>0</v>
      </c>
      <c r="G21" s="28">
        <v>0</v>
      </c>
      <c r="H21" s="8">
        <v>1</v>
      </c>
      <c r="I21" s="28">
        <v>1</v>
      </c>
      <c r="J21" s="28">
        <v>0</v>
      </c>
      <c r="K21" s="42">
        <f t="shared" si="0"/>
        <v>2</v>
      </c>
    </row>
    <row r="22" spans="2:11" s="8" customFormat="1" ht="15.75" customHeight="1" x14ac:dyDescent="0.25">
      <c r="B22" s="46" t="s">
        <v>245</v>
      </c>
      <c r="C22" s="32">
        <v>1</v>
      </c>
      <c r="D22" s="8">
        <v>0</v>
      </c>
      <c r="E22" s="8">
        <v>0</v>
      </c>
      <c r="F22" s="8">
        <v>0</v>
      </c>
      <c r="G22" s="28">
        <v>0</v>
      </c>
      <c r="H22" s="8">
        <v>0</v>
      </c>
      <c r="I22" s="36">
        <v>1</v>
      </c>
      <c r="J22" s="28">
        <v>0</v>
      </c>
      <c r="K22" s="42">
        <f t="shared" si="0"/>
        <v>1</v>
      </c>
    </row>
    <row r="23" spans="2:11" s="8" customFormat="1" ht="15.75" customHeight="1" x14ac:dyDescent="0.25">
      <c r="B23" s="46" t="s">
        <v>247</v>
      </c>
      <c r="C23" s="27">
        <v>4</v>
      </c>
      <c r="D23" s="8">
        <v>0</v>
      </c>
      <c r="E23" s="8">
        <v>0</v>
      </c>
      <c r="F23" s="8">
        <v>0</v>
      </c>
      <c r="G23" s="28">
        <v>2</v>
      </c>
      <c r="H23" s="8">
        <v>0</v>
      </c>
      <c r="I23" s="8">
        <v>0</v>
      </c>
      <c r="J23" s="28">
        <v>2</v>
      </c>
      <c r="K23" s="42">
        <f t="shared" si="0"/>
        <v>4</v>
      </c>
    </row>
    <row r="24" spans="2:11" s="8" customFormat="1" ht="15.75" customHeight="1" x14ac:dyDescent="0.25">
      <c r="B24" s="46" t="s">
        <v>248</v>
      </c>
      <c r="C24" s="27">
        <v>4</v>
      </c>
      <c r="D24" s="8">
        <v>0</v>
      </c>
      <c r="E24" s="8">
        <v>0</v>
      </c>
      <c r="F24" s="8">
        <v>0</v>
      </c>
      <c r="G24" s="28">
        <v>2</v>
      </c>
      <c r="H24" s="8">
        <v>0</v>
      </c>
      <c r="I24" s="8">
        <v>0</v>
      </c>
      <c r="J24" s="28">
        <v>2</v>
      </c>
      <c r="K24" s="42">
        <f t="shared" si="0"/>
        <v>4</v>
      </c>
    </row>
    <row r="25" spans="2:11" s="8" customFormat="1" ht="15.75" customHeight="1" x14ac:dyDescent="0.25">
      <c r="B25" s="47"/>
      <c r="D25" s="8">
        <f>SUM(D4:D24)</f>
        <v>1</v>
      </c>
      <c r="E25" s="8">
        <f t="shared" ref="E25:J25" si="1">SUM(E4:E24)</f>
        <v>6</v>
      </c>
      <c r="F25" s="8">
        <f t="shared" si="1"/>
        <v>19</v>
      </c>
      <c r="G25" s="8">
        <f t="shared" si="1"/>
        <v>12</v>
      </c>
      <c r="H25" s="8">
        <f t="shared" si="1"/>
        <v>5</v>
      </c>
      <c r="I25" s="8">
        <f t="shared" si="1"/>
        <v>2</v>
      </c>
      <c r="J25" s="8">
        <f t="shared" si="1"/>
        <v>4</v>
      </c>
      <c r="K25" s="40">
        <f>SUM(D25:J25)</f>
        <v>49</v>
      </c>
    </row>
    <row r="26" spans="2:11" ht="15.75" customHeight="1" x14ac:dyDescent="0.25"/>
    <row r="27" spans="2:11" s="8" customFormat="1" ht="15.75" customHeight="1" x14ac:dyDescent="0.25">
      <c r="B27" s="40"/>
      <c r="K27" s="40"/>
    </row>
    <row r="28" spans="2:11" ht="15.75" customHeight="1" x14ac:dyDescent="0.25"/>
    <row r="29" spans="2:11" ht="15.75" customHeight="1" x14ac:dyDescent="0.25">
      <c r="B29" s="48" t="s">
        <v>19</v>
      </c>
      <c r="C29" s="4">
        <f>SUM(C4:C24)</f>
        <v>49</v>
      </c>
      <c r="D29" s="4">
        <f>C29-SUM(D4:D24)</f>
        <v>48</v>
      </c>
      <c r="E29" s="4">
        <f t="shared" ref="E29:J29" si="2">D29-SUM(E4:E24)</f>
        <v>42</v>
      </c>
      <c r="F29" s="4">
        <f t="shared" si="2"/>
        <v>23</v>
      </c>
      <c r="G29" s="4">
        <f t="shared" si="2"/>
        <v>11</v>
      </c>
      <c r="H29" s="4">
        <f t="shared" si="2"/>
        <v>6</v>
      </c>
      <c r="I29" s="4">
        <f t="shared" si="2"/>
        <v>4</v>
      </c>
      <c r="J29" s="4">
        <f t="shared" si="2"/>
        <v>0</v>
      </c>
    </row>
    <row r="30" spans="2:11" ht="15.75" customHeight="1" x14ac:dyDescent="0.25">
      <c r="B30" s="48" t="s">
        <v>20</v>
      </c>
      <c r="C30" s="4">
        <f>SUM(C4:C24)</f>
        <v>49</v>
      </c>
      <c r="D30" s="4">
        <f>C30-(SUM(C4:C24)/7)</f>
        <v>42</v>
      </c>
      <c r="E30" s="37">
        <f>D30-(SUM(C4:C24)/7)</f>
        <v>35</v>
      </c>
      <c r="F30" s="37">
        <f>E30-(SUM(C4:C24)/7)</f>
        <v>28</v>
      </c>
      <c r="G30" s="37">
        <f>F30-(SUM(C4:C24)/7)</f>
        <v>21</v>
      </c>
      <c r="H30" s="37">
        <f>G30-(SUM(C4:C24)/7)</f>
        <v>14</v>
      </c>
      <c r="I30" s="37">
        <f>H30-(SUM(C4:C24)/7)</f>
        <v>7</v>
      </c>
      <c r="J30" s="4">
        <f>I30-(SUM(C4:C24)/7)</f>
        <v>0</v>
      </c>
    </row>
    <row r="31" spans="2:11" ht="15.75" customHeight="1" x14ac:dyDescent="0.25"/>
    <row r="32" spans="2:11" ht="15.75" customHeight="1" x14ac:dyDescent="0.25"/>
    <row r="33" spans="2:7" ht="15.75" customHeight="1" x14ac:dyDescent="0.25"/>
    <row r="34" spans="2:7" ht="15.75" customHeight="1" x14ac:dyDescent="0.25">
      <c r="B34" s="54" t="s">
        <v>227</v>
      </c>
      <c r="C34" s="55"/>
      <c r="D34" s="55"/>
      <c r="E34" s="55"/>
      <c r="F34" s="55"/>
      <c r="G34" s="55"/>
    </row>
    <row r="35" spans="2:7" ht="15.75" customHeight="1" x14ac:dyDescent="0.25">
      <c r="B35" s="55"/>
      <c r="C35" s="55"/>
      <c r="D35" s="55"/>
      <c r="E35" s="55"/>
      <c r="F35" s="55"/>
      <c r="G35" s="55"/>
    </row>
    <row r="36" spans="2:7" ht="15.75" customHeight="1" x14ac:dyDescent="0.25">
      <c r="B36" s="55"/>
      <c r="C36" s="55"/>
      <c r="D36" s="55"/>
      <c r="E36" s="55"/>
      <c r="F36" s="55"/>
      <c r="G36" s="55"/>
    </row>
    <row r="37" spans="2:7" ht="15.75" customHeight="1" x14ac:dyDescent="0.25">
      <c r="B37" s="55"/>
      <c r="C37" s="55"/>
      <c r="D37" s="55"/>
      <c r="E37" s="55"/>
      <c r="F37" s="55"/>
      <c r="G37" s="55"/>
    </row>
    <row r="38" spans="2:7" ht="15.75" customHeight="1" x14ac:dyDescent="0.25">
      <c r="B38" s="55"/>
      <c r="C38" s="55"/>
      <c r="D38" s="55"/>
      <c r="E38" s="55"/>
      <c r="F38" s="55"/>
      <c r="G38" s="55"/>
    </row>
    <row r="39" spans="2:7" ht="15.75" customHeight="1" x14ac:dyDescent="0.25">
      <c r="B39" s="55"/>
      <c r="C39" s="55"/>
      <c r="D39" s="55"/>
      <c r="E39" s="55"/>
      <c r="F39" s="55"/>
      <c r="G39" s="55"/>
    </row>
    <row r="40" spans="2:7" ht="15.75" customHeight="1" x14ac:dyDescent="0.25">
      <c r="B40" s="55"/>
      <c r="C40" s="55"/>
      <c r="D40" s="55"/>
      <c r="E40" s="55"/>
      <c r="F40" s="55"/>
      <c r="G40" s="55"/>
    </row>
    <row r="41" spans="2:7" ht="15.75" customHeight="1" x14ac:dyDescent="0.25">
      <c r="B41" s="55"/>
      <c r="C41" s="55"/>
      <c r="D41" s="55"/>
      <c r="E41" s="55"/>
      <c r="F41" s="55"/>
      <c r="G41" s="55"/>
    </row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">
    <mergeCell ref="B34:G41"/>
  </mergeCells>
  <phoneticPr fontId="17" type="noConversion"/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sprint0</vt:lpstr>
      <vt:lpstr>sprint1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smdiaz5@espe.edu.ec</cp:lastModifiedBy>
  <dcterms:created xsi:type="dcterms:W3CDTF">2023-06-05T13:12:31Z</dcterms:created>
  <dcterms:modified xsi:type="dcterms:W3CDTF">2025-12-18T03:39:13Z</dcterms:modified>
</cp:coreProperties>
</file>