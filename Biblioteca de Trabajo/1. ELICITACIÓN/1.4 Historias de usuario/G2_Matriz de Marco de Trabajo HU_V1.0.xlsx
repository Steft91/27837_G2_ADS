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8_{962D27B1-4907-4A03-8BBB-2BFEB523EF5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ato descripción HU" sheetId="1" r:id="rId1"/>
    <sheet name="Historia de Usuario RF-02" sheetId="2" r:id="rId2"/>
    <sheet name="Historia de Usuario RF-03" sheetId="3" r:id="rId3"/>
    <sheet name="Historia de Usuario RF-07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4" l="1"/>
  <c r="E22" i="4"/>
  <c r="E19" i="4"/>
  <c r="M15" i="4"/>
  <c r="H15" i="4"/>
  <c r="D15" i="4"/>
  <c r="H13" i="4"/>
  <c r="E13" i="4"/>
  <c r="C13" i="4"/>
  <c r="H10" i="4"/>
  <c r="E10" i="4"/>
  <c r="L22" i="3"/>
  <c r="E22" i="3"/>
  <c r="E19" i="3"/>
  <c r="M15" i="3"/>
  <c r="H15" i="3"/>
  <c r="D15" i="3"/>
  <c r="H13" i="3"/>
  <c r="E13" i="3"/>
  <c r="C13" i="3"/>
  <c r="H10" i="3"/>
  <c r="E10" i="3"/>
  <c r="L22" i="2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<sst xmlns="http://schemas.openxmlformats.org/spreadsheetml/2006/main" count="148" uniqueCount="100">
  <si>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</si>
  <si>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</si>
  <si>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</si>
  <si>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</si>
  <si>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</si>
  <si>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</si>
  <si>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</si>
  <si>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</si>
  <si>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</si>
  <si>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</si>
  <si>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</si>
  <si>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</si>
  <si>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</si>
  <si>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</si>
  <si>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</si>
  <si>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RF-01</t>
  </si>
  <si>
    <t>Los usuarios necesitan un acceso seguro con credenciales institucionales.</t>
  </si>
  <si>
    <t>Iniciar sesión con correo @espe.edu.ec</t>
  </si>
  <si>
    <t>Garantizar identidad y acceso autorizado</t>
  </si>
  <si>
    <t>Usuarios ESPE</t>
  </si>
  <si>
    <t>Ingresar correo → Validar credenciales → Acceder</t>
  </si>
  <si>
    <t>Moisés Benalcázar</t>
  </si>
  <si>
    <t>Alta</t>
  </si>
  <si>
    <t>No iniciado</t>
  </si>
  <si>
    <t>Rechaza correos no institucionales; acceso correcto si es válido.</t>
  </si>
  <si>
    <t>Requiere integración</t>
  </si>
  <si>
    <t>Inicio de sesión institucional</t>
  </si>
  <si>
    <t>RF-02</t>
  </si>
  <si>
    <t>Solicitudes de préstamo no están organizadas.</t>
  </si>
  <si>
    <t>Seleccionar fecha, aula y franja</t>
  </si>
  <si>
    <t>Reservar un proyector para clase</t>
  </si>
  <si>
    <t>Usuario solicitante</t>
  </si>
  <si>
    <t>Elegir aula → Franja → Enviar solicitud</t>
  </si>
  <si>
    <t>Solo permite una franja; si está disponible, registra solicitud.</t>
  </si>
  <si>
    <t>Validación de horario</t>
  </si>
  <si>
    <t>Solicitud de préstamo</t>
  </si>
  <si>
    <t>RF-03</t>
  </si>
  <si>
    <t>Carga manual excesiva para el técnico y errores humanos.</t>
  </si>
  <si>
    <t>Asignación automática de equipos disponibles.</t>
  </si>
  <si>
    <t>Agilizar el préstamo y bloquear stock sin intervención técnica.</t>
  </si>
  <si>
    <t>Personal Técnico / Sistema.</t>
  </si>
  <si>
    <t>Algoritmo asigna proyector disponible según aula/horario al enviar solicitud.</t>
  </si>
  <si>
    <t>Mateo Medranda</t>
  </si>
  <si>
    <t>Conflictivo</t>
  </si>
  <si>
    <t>Asignación inmediata y bloqueo en BD al solicitar.</t>
  </si>
  <si>
    <t>Riesgo Alto (complejidad lógica).</t>
  </si>
  <si>
    <t xml:space="preserve"> Asignación automática</t>
  </si>
  <si>
    <t>RF-04</t>
  </si>
  <si>
    <t>No existe control de horas reales de entrega/devolución.</t>
  </si>
  <si>
    <t>Registrar hora exacta de entrega y devolución</t>
  </si>
  <si>
    <t>Controlar retrasos</t>
  </si>
  <si>
    <t>Técnico</t>
  </si>
  <si>
    <t>Registrar entrega → Registrar devolución</t>
  </si>
  <si>
    <t>Registra fecha/hora exacta; marca retrasos &gt;10 min.</t>
  </si>
  <si>
    <t>Crítico para sanciones</t>
  </si>
  <si>
    <t>Registro entrega y devolución</t>
  </si>
  <si>
    <t>RF-05</t>
  </si>
  <si>
    <t>Usuarios no pueden ver disponibilidad.</t>
  </si>
  <si>
    <t>Consultar disponibilidad por fecha y aula</t>
  </si>
  <si>
    <t>Saber si puede reservar</t>
  </si>
  <si>
    <t>Usuario</t>
  </si>
  <si>
    <t>Elegir fecha → Aula → Consultar</t>
  </si>
  <si>
    <t>Stefany Díaz</t>
  </si>
  <si>
    <t>Media</t>
  </si>
  <si>
    <t>No negociado</t>
  </si>
  <si>
    <t>Muestra disponibilidad en tiempo real.</t>
  </si>
  <si>
    <t>Integra con RF03</t>
  </si>
  <si>
    <t>Consulta de disponibilidad</t>
  </si>
  <si>
    <t>RF-06</t>
  </si>
  <si>
    <t>No hay historial claro de uso.</t>
  </si>
  <si>
    <t>Generar reportes exportables</t>
  </si>
  <si>
    <t>Analizar uso institucional</t>
  </si>
  <si>
    <t>Administración</t>
  </si>
  <si>
    <t>Seleccionar filtros → Exportar PDF/Excel</t>
  </si>
  <si>
    <t>Reportes correctos según filtros.</t>
  </si>
  <si>
    <t>Requiere tablas limpias</t>
  </si>
  <si>
    <t>Reportes de uso</t>
  </si>
  <si>
    <t>RF-07</t>
  </si>
  <si>
    <t>No existe control automático de retrasos.</t>
  </si>
  <si>
    <t>Detectar retrasos y sancionar</t>
  </si>
  <si>
    <t>Fomentar uso responsable</t>
  </si>
  <si>
    <t>Sistema / Coordinación</t>
  </si>
  <si>
    <t>Registrar devolución → Detectar retraso → Notificar → Bloquear</t>
  </si>
  <si>
    <t>Al segundo retraso, bloquea usuario y notifica.</t>
  </si>
  <si>
    <t>Depende del historial</t>
  </si>
  <si>
    <t>Sanciones automáticas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</si>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</sst>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0"/>
      <color rgb="FF000000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rgb="FF000000"/>
      <name val="Calibri"/>
      <family val="2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3" borderId="4" xfId="0" applyFont="1" applyFill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5" fillId="3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11" fillId="0" borderId="0" xfId="0" applyFont="1"/>
    <xf numFmtId="0" fontId="8" fillId="0" borderId="0" xfId="0" applyFont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vertical="center"/>
    </xf>
    <xf numFmtId="0" fontId="11" fillId="5" borderId="5" xfId="0" applyFont="1" applyFill="1" applyBorder="1"/>
    <xf numFmtId="0" fontId="9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/>
    </xf>
    <xf numFmtId="0" fontId="14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0" fontId="11" fillId="5" borderId="20" xfId="0" applyFont="1" applyFill="1" applyBorder="1"/>
    <xf numFmtId="0" fontId="11" fillId="5" borderId="21" xfId="0" applyFont="1" applyFill="1" applyBorder="1"/>
    <xf numFmtId="0" fontId="11" fillId="5" borderId="22" xfId="0" applyFont="1" applyFill="1" applyBorder="1"/>
    <xf numFmtId="0" fontId="1" fillId="0" borderId="4" xfId="0" applyFont="1" applyBorder="1" applyAlignment="1">
      <alignment horizontal="center" wrapText="1"/>
    </xf>
    <xf numFmtId="0" fontId="11" fillId="5" borderId="7" xfId="0" applyFont="1" applyFill="1" applyBorder="1"/>
    <xf numFmtId="0" fontId="8" fillId="5" borderId="9" xfId="0" applyFont="1" applyFill="1" applyBorder="1" applyAlignment="1">
      <alignment horizontal="left" vertical="center" wrapText="1"/>
    </xf>
    <xf numFmtId="0" fontId="9" fillId="5" borderId="9" xfId="0" applyFont="1" applyFill="1" applyBorder="1"/>
    <xf numFmtId="0" fontId="11" fillId="5" borderId="9" xfId="0" applyFont="1" applyFill="1" applyBorder="1"/>
    <xf numFmtId="0" fontId="11" fillId="5" borderId="8" xfId="0" applyFont="1" applyFill="1" applyBorder="1"/>
    <xf numFmtId="0" fontId="11" fillId="5" borderId="11" xfId="0" applyFont="1" applyFill="1" applyBorder="1"/>
    <xf numFmtId="0" fontId="11" fillId="5" borderId="12" xfId="0" applyFont="1" applyFill="1" applyBorder="1"/>
    <xf numFmtId="0" fontId="0" fillId="0" borderId="0" xfId="0" applyFont="1" applyAlignment="1"/>
    <xf numFmtId="0" fontId="5" fillId="0" borderId="13" xfId="0" applyFont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164" fontId="5" fillId="0" borderId="13" xfId="0" applyNumberFormat="1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1" fillId="0" borderId="13" xfId="0" applyFont="1" applyBorder="1"/>
    <xf numFmtId="0" fontId="16" fillId="0" borderId="4" xfId="0" applyFont="1" applyBorder="1" applyAlignment="1">
      <alignment horizontal="center" vertical="center" wrapText="1"/>
    </xf>
    <xf numFmtId="14" fontId="16" fillId="0" borderId="4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4" fontId="16" fillId="0" borderId="6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14" fontId="16" fillId="0" borderId="22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4" fontId="17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readingOrder="1"/>
    </xf>
    <xf numFmtId="0" fontId="9" fillId="0" borderId="4" xfId="0" applyFont="1" applyBorder="1" applyAlignment="1">
      <alignment horizontal="center" vertical="center" readingOrder="1"/>
    </xf>
    <xf numFmtId="0" fontId="9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12" fillId="8" borderId="6" xfId="0" applyFont="1" applyFill="1" applyBorder="1" applyAlignment="1">
      <alignment horizontal="center" vertical="center"/>
    </xf>
    <xf numFmtId="0" fontId="3" fillId="0" borderId="10" xfId="0" applyFont="1" applyBorder="1" applyAlignment="1"/>
    <xf numFmtId="0" fontId="3" fillId="0" borderId="13" xfId="0" applyFont="1" applyBorder="1" applyAlignment="1"/>
    <xf numFmtId="0" fontId="9" fillId="7" borderId="7" xfId="0" applyFont="1" applyFill="1" applyBorder="1" applyAlignment="1">
      <alignment horizontal="left" vertical="center"/>
    </xf>
    <xf numFmtId="0" fontId="3" fillId="0" borderId="9" xfId="0" applyFont="1" applyBorder="1" applyAlignment="1"/>
    <xf numFmtId="0" fontId="3" fillId="0" borderId="8" xfId="0" applyFont="1" applyBorder="1" applyAlignment="1"/>
    <xf numFmtId="0" fontId="3" fillId="0" borderId="11" xfId="0" applyFont="1" applyBorder="1" applyAlignment="1"/>
    <xf numFmtId="0" fontId="0" fillId="0" borderId="0" xfId="0" applyFont="1" applyAlignment="1"/>
    <xf numFmtId="0" fontId="3" fillId="0" borderId="12" xfId="0" applyFont="1" applyBorder="1" applyAlignment="1"/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14" fillId="2" borderId="14" xfId="0" applyFont="1" applyFill="1" applyBorder="1" applyAlignment="1">
      <alignment horizontal="center" vertical="center"/>
    </xf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17" xfId="0" applyFont="1" applyBorder="1" applyAlignment="1"/>
    <xf numFmtId="0" fontId="3" fillId="0" borderId="18" xfId="0" applyFont="1" applyBorder="1" applyAlignment="1"/>
    <xf numFmtId="0" fontId="3" fillId="0" borderId="19" xfId="0" applyFont="1" applyBorder="1" applyAlignment="1"/>
    <xf numFmtId="0" fontId="12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49" fontId="9" fillId="7" borderId="7" xfId="0" applyNumberFormat="1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6DE69B11-7D04-4351-AD17-3903A46DC8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72725" y="1209675"/>
          <a:ext cx="106680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FE18DA1A-67BA-41D9-9A10-8AAEC46FC060}"/>
            </a:ext>
            <a:ext uri="{147F2762-F138-4A5C-976F-8EAC2B608ADB}">
              <a16:predDERef xmlns:a16="http://schemas.microsoft.com/office/drawing/2014/main" pred="{6DE69B11-7D04-4351-AD17-3903A46DC8D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420100" y="1209675"/>
          <a:ext cx="1095375" cy="11620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E6E77AD5-E76C-4712-B268-4699E5EF7E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72725" y="1209675"/>
          <a:ext cx="106680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3D6FB54F-A0DB-4C77-B2A7-40EE927A3BE6}"/>
            </a:ext>
            <a:ext uri="{147F2762-F138-4A5C-976F-8EAC2B608ADB}">
              <a16:predDERef xmlns:a16="http://schemas.microsoft.com/office/drawing/2014/main" pred="{E6E77AD5-E76C-4712-B268-4699E5EF7E0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420100" y="1209675"/>
          <a:ext cx="1095375" cy="1162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abSelected="1" topLeftCell="A6" workbookViewId="0">
      <selection activeCell="H9" sqref="H9"/>
    </sheetView>
  </sheetViews>
  <sheetFormatPr defaultColWidth="12.625" defaultRowHeight="15" customHeight="1"/>
  <cols>
    <col min="1" max="1" width="4.625" customWidth="1"/>
    <col min="2" max="2" width="6.625" customWidth="1"/>
    <col min="3" max="5" width="20.625" customWidth="1"/>
    <col min="6" max="6" width="13.125" customWidth="1"/>
    <col min="7" max="7" width="32.5" customWidth="1"/>
    <col min="8" max="12" width="10.625" customWidth="1"/>
    <col min="13" max="13" width="32.75" customWidth="1"/>
    <col min="14" max="15" width="20.625" customWidth="1"/>
    <col min="16" max="26" width="9.375" customWidth="1"/>
  </cols>
  <sheetData>
    <row r="1" spans="1:26" ht="14.1">
      <c r="A1" s="1">
        <v>4</v>
      </c>
      <c r="B1" s="2"/>
      <c r="C1" s="2"/>
      <c r="D1" s="2"/>
      <c r="E1" s="2"/>
      <c r="F1" s="2"/>
      <c r="G1" s="2"/>
      <c r="H1" s="2"/>
      <c r="I1" s="3"/>
      <c r="J1" s="3"/>
      <c r="K1" s="4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1">
      <c r="A2" s="2"/>
      <c r="B2" s="2"/>
      <c r="C2" s="2"/>
      <c r="D2" s="2"/>
      <c r="E2" s="2"/>
      <c r="F2" s="2"/>
      <c r="G2" s="2"/>
      <c r="H2" s="2"/>
      <c r="I2" s="3"/>
      <c r="J2" s="3"/>
      <c r="K2" s="4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>
      <c r="A3" s="2"/>
      <c r="B3" s="62" t="s">
        <v>0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4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1">
      <c r="A4" s="2"/>
      <c r="B4" s="2"/>
      <c r="C4" s="2"/>
      <c r="D4" s="2"/>
      <c r="E4" s="2"/>
      <c r="F4" s="2"/>
      <c r="G4" s="2"/>
      <c r="H4" s="2"/>
      <c r="I4" s="3"/>
      <c r="J4" s="3"/>
      <c r="K4" s="4"/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2"/>
      <c r="B5" s="43" t="s">
        <v>1</v>
      </c>
      <c r="C5" s="43" t="s">
        <v>2</v>
      </c>
      <c r="D5" s="43" t="s">
        <v>3</v>
      </c>
      <c r="E5" s="43" t="s">
        <v>4</v>
      </c>
      <c r="F5" s="43" t="s">
        <v>5</v>
      </c>
      <c r="G5" s="43" t="s">
        <v>6</v>
      </c>
      <c r="H5" s="43" t="s">
        <v>7</v>
      </c>
      <c r="I5" s="43" t="s">
        <v>8</v>
      </c>
      <c r="J5" s="43" t="s">
        <v>9</v>
      </c>
      <c r="K5" s="43" t="s">
        <v>10</v>
      </c>
      <c r="L5" s="43" t="s">
        <v>11</v>
      </c>
      <c r="M5" s="43" t="s">
        <v>12</v>
      </c>
      <c r="N5" s="43" t="s">
        <v>13</v>
      </c>
      <c r="O5" s="43" t="s">
        <v>14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75.75" customHeight="1">
      <c r="A6" s="42"/>
      <c r="B6" s="44" t="s">
        <v>15</v>
      </c>
      <c r="C6" s="49" t="s">
        <v>16</v>
      </c>
      <c r="D6" s="49" t="s">
        <v>17</v>
      </c>
      <c r="E6" s="49" t="s">
        <v>18</v>
      </c>
      <c r="F6" s="49" t="s">
        <v>19</v>
      </c>
      <c r="G6" s="49" t="s">
        <v>20</v>
      </c>
      <c r="H6" s="51" t="s">
        <v>21</v>
      </c>
      <c r="I6" s="49">
        <v>4</v>
      </c>
      <c r="J6" s="50">
        <v>45853</v>
      </c>
      <c r="K6" s="49" t="s">
        <v>22</v>
      </c>
      <c r="L6" s="49" t="s">
        <v>23</v>
      </c>
      <c r="M6" s="49" t="s">
        <v>24</v>
      </c>
      <c r="N6" s="49" t="s">
        <v>25</v>
      </c>
      <c r="O6" s="49" t="s">
        <v>26</v>
      </c>
      <c r="P6" s="4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5.75" customHeight="1">
      <c r="A7" s="42"/>
      <c r="B7" s="44" t="s">
        <v>27</v>
      </c>
      <c r="C7" s="51" t="s">
        <v>28</v>
      </c>
      <c r="D7" s="51" t="s">
        <v>29</v>
      </c>
      <c r="E7" s="51" t="s">
        <v>30</v>
      </c>
      <c r="F7" s="51" t="s">
        <v>31</v>
      </c>
      <c r="G7" s="51" t="s">
        <v>32</v>
      </c>
      <c r="H7" s="51" t="s">
        <v>21</v>
      </c>
      <c r="I7" s="51">
        <v>6</v>
      </c>
      <c r="J7" s="52">
        <v>45855</v>
      </c>
      <c r="K7" s="51" t="s">
        <v>22</v>
      </c>
      <c r="L7" s="51" t="s">
        <v>23</v>
      </c>
      <c r="M7" s="51" t="s">
        <v>33</v>
      </c>
      <c r="N7" s="51" t="s">
        <v>34</v>
      </c>
      <c r="O7" s="51" t="s">
        <v>35</v>
      </c>
      <c r="P7" s="4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75.75" customHeight="1">
      <c r="A8" s="2"/>
      <c r="B8" s="46" t="s">
        <v>36</v>
      </c>
      <c r="C8" s="57" t="s">
        <v>37</v>
      </c>
      <c r="D8" s="57" t="s">
        <v>38</v>
      </c>
      <c r="E8" s="57" t="s">
        <v>39</v>
      </c>
      <c r="F8" s="57" t="s">
        <v>40</v>
      </c>
      <c r="G8" s="57" t="s">
        <v>41</v>
      </c>
      <c r="H8" s="58" t="s">
        <v>42</v>
      </c>
      <c r="I8" s="55">
        <v>6</v>
      </c>
      <c r="J8" s="56">
        <v>45856</v>
      </c>
      <c r="K8" s="59" t="s">
        <v>22</v>
      </c>
      <c r="L8" s="60" t="s">
        <v>43</v>
      </c>
      <c r="M8" s="57" t="s">
        <v>44</v>
      </c>
      <c r="N8" s="57" t="s">
        <v>45</v>
      </c>
      <c r="O8" s="61" t="s">
        <v>46</v>
      </c>
      <c r="P8" s="4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75.75" customHeight="1">
      <c r="A9" s="42"/>
      <c r="B9" s="46" t="s">
        <v>47</v>
      </c>
      <c r="C9" s="53" t="s">
        <v>48</v>
      </c>
      <c r="D9" s="53" t="s">
        <v>49</v>
      </c>
      <c r="E9" s="53" t="s">
        <v>50</v>
      </c>
      <c r="F9" s="53" t="s">
        <v>51</v>
      </c>
      <c r="G9" s="53" t="s">
        <v>52</v>
      </c>
      <c r="H9" s="58" t="s">
        <v>42</v>
      </c>
      <c r="I9" s="49">
        <v>5</v>
      </c>
      <c r="J9" s="54">
        <v>45856</v>
      </c>
      <c r="K9" s="53" t="s">
        <v>22</v>
      </c>
      <c r="L9" s="53" t="s">
        <v>23</v>
      </c>
      <c r="M9" s="53" t="s">
        <v>53</v>
      </c>
      <c r="N9" s="53" t="s">
        <v>54</v>
      </c>
      <c r="O9" s="53" t="s">
        <v>55</v>
      </c>
      <c r="P9" s="4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64.5" customHeight="1">
      <c r="A10" s="42"/>
      <c r="B10" s="46" t="s">
        <v>56</v>
      </c>
      <c r="C10" s="49" t="s">
        <v>57</v>
      </c>
      <c r="D10" s="49" t="s">
        <v>58</v>
      </c>
      <c r="E10" s="49" t="s">
        <v>59</v>
      </c>
      <c r="F10" s="49" t="s">
        <v>60</v>
      </c>
      <c r="G10" s="49" t="s">
        <v>61</v>
      </c>
      <c r="H10" s="49" t="s">
        <v>62</v>
      </c>
      <c r="I10" s="53">
        <v>4</v>
      </c>
      <c r="J10" s="50">
        <v>45857</v>
      </c>
      <c r="K10" s="49" t="s">
        <v>63</v>
      </c>
      <c r="L10" s="49" t="s">
        <v>64</v>
      </c>
      <c r="M10" s="49" t="s">
        <v>65</v>
      </c>
      <c r="N10" s="49" t="s">
        <v>66</v>
      </c>
      <c r="O10" s="49" t="s">
        <v>67</v>
      </c>
      <c r="P10" s="4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1.5" customHeight="1">
      <c r="A11" s="42"/>
      <c r="B11" s="46" t="s">
        <v>68</v>
      </c>
      <c r="C11" s="49" t="s">
        <v>69</v>
      </c>
      <c r="D11" s="49" t="s">
        <v>70</v>
      </c>
      <c r="E11" s="49" t="s">
        <v>71</v>
      </c>
      <c r="F11" s="49" t="s">
        <v>72</v>
      </c>
      <c r="G11" s="49" t="s">
        <v>73</v>
      </c>
      <c r="H11" s="49" t="s">
        <v>62</v>
      </c>
      <c r="I11" s="49">
        <v>8</v>
      </c>
      <c r="J11" s="50">
        <v>45860</v>
      </c>
      <c r="K11" s="49" t="s">
        <v>63</v>
      </c>
      <c r="L11" s="49" t="s">
        <v>64</v>
      </c>
      <c r="M11" s="49" t="s">
        <v>74</v>
      </c>
      <c r="N11" s="49" t="s">
        <v>75</v>
      </c>
      <c r="O11" s="49" t="s">
        <v>76</v>
      </c>
      <c r="P11" s="4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70.5" customHeight="1">
      <c r="A12" s="42"/>
      <c r="B12" s="46" t="s">
        <v>77</v>
      </c>
      <c r="C12" s="49" t="s">
        <v>78</v>
      </c>
      <c r="D12" s="49" t="s">
        <v>79</v>
      </c>
      <c r="E12" s="49" t="s">
        <v>80</v>
      </c>
      <c r="F12" s="49" t="s">
        <v>81</v>
      </c>
      <c r="G12" s="49" t="s">
        <v>82</v>
      </c>
      <c r="H12" s="49" t="s">
        <v>62</v>
      </c>
      <c r="I12" s="49">
        <v>12</v>
      </c>
      <c r="J12" s="50">
        <v>45863</v>
      </c>
      <c r="K12" s="49" t="s">
        <v>22</v>
      </c>
      <c r="L12" s="49" t="s">
        <v>43</v>
      </c>
      <c r="M12" s="49" t="s">
        <v>83</v>
      </c>
      <c r="N12" s="49" t="s">
        <v>84</v>
      </c>
      <c r="O12" s="49" t="s">
        <v>85</v>
      </c>
      <c r="P12" s="4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61.5" customHeight="1">
      <c r="A13" s="2"/>
      <c r="B13" s="47"/>
      <c r="C13" s="40"/>
      <c r="D13" s="41"/>
      <c r="E13" s="40"/>
      <c r="F13" s="40"/>
      <c r="G13" s="41"/>
      <c r="H13" s="40"/>
      <c r="I13" s="40"/>
      <c r="J13" s="45"/>
      <c r="K13" s="40"/>
      <c r="L13" s="40"/>
      <c r="M13" s="40"/>
      <c r="N13" s="48"/>
      <c r="O13" s="4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58.5" customHeight="1">
      <c r="A14" s="2"/>
      <c r="B14" s="5"/>
      <c r="C14" s="8"/>
      <c r="D14" s="8"/>
      <c r="E14" s="8"/>
      <c r="F14" s="8"/>
      <c r="G14" s="9"/>
      <c r="H14" s="8"/>
      <c r="I14" s="8"/>
      <c r="J14" s="6"/>
      <c r="K14" s="8"/>
      <c r="L14" s="8"/>
      <c r="M14" s="8"/>
      <c r="N14" s="10"/>
      <c r="O14" s="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9.75" customHeight="1">
      <c r="A15" s="2"/>
      <c r="B15" s="5"/>
      <c r="C15" s="8"/>
      <c r="D15" s="8"/>
      <c r="E15" s="8"/>
      <c r="F15" s="8"/>
      <c r="G15" s="9"/>
      <c r="H15" s="8"/>
      <c r="I15" s="8"/>
      <c r="J15" s="6"/>
      <c r="K15" s="8"/>
      <c r="L15" s="8"/>
      <c r="M15" s="8"/>
      <c r="N15" s="10"/>
      <c r="O15" s="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72" customHeight="1">
      <c r="A16" s="2"/>
      <c r="B16" s="5"/>
      <c r="C16" s="8"/>
      <c r="D16" s="8"/>
      <c r="E16" s="8"/>
      <c r="F16" s="8"/>
      <c r="G16" s="9"/>
      <c r="H16" s="8"/>
      <c r="I16" s="8"/>
      <c r="J16" s="6"/>
      <c r="K16" s="8"/>
      <c r="L16" s="8"/>
      <c r="M16" s="8"/>
      <c r="N16" s="10"/>
      <c r="O16" s="8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9.75" customHeight="1">
      <c r="A17" s="2"/>
      <c r="B17" s="5"/>
      <c r="C17" s="8"/>
      <c r="D17" s="8"/>
      <c r="E17" s="8"/>
      <c r="F17" s="8"/>
      <c r="G17" s="9"/>
      <c r="H17" s="8"/>
      <c r="I17" s="8"/>
      <c r="J17" s="6"/>
      <c r="K17" s="8"/>
      <c r="L17" s="8"/>
      <c r="M17" s="8"/>
      <c r="N17" s="10"/>
      <c r="O17" s="8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9.75" customHeight="1">
      <c r="A18" s="2"/>
      <c r="B18" s="5"/>
      <c r="C18" s="8"/>
      <c r="D18" s="8"/>
      <c r="E18" s="8"/>
      <c r="F18" s="8"/>
      <c r="G18" s="9"/>
      <c r="H18" s="8"/>
      <c r="I18" s="8"/>
      <c r="J18" s="6"/>
      <c r="K18" s="8"/>
      <c r="L18" s="8"/>
      <c r="M18" s="8"/>
      <c r="N18" s="10"/>
      <c r="O18" s="8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9.75" customHeight="1">
      <c r="A19" s="2"/>
      <c r="B19" s="5"/>
      <c r="C19" s="8"/>
      <c r="D19" s="8"/>
      <c r="E19" s="8"/>
      <c r="F19" s="8"/>
      <c r="G19" s="9"/>
      <c r="H19" s="8"/>
      <c r="I19" s="8"/>
      <c r="J19" s="6"/>
      <c r="K19" s="8"/>
      <c r="L19" s="8"/>
      <c r="M19" s="8"/>
      <c r="N19" s="10"/>
      <c r="O19" s="8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1">
      <c r="A20" s="2"/>
      <c r="B20" s="11"/>
      <c r="C20" s="13"/>
      <c r="D20" s="13"/>
      <c r="E20" s="13"/>
      <c r="F20" s="13"/>
      <c r="G20" s="13"/>
      <c r="H20" s="8"/>
      <c r="I20" s="8"/>
      <c r="J20" s="6"/>
      <c r="K20" s="8"/>
      <c r="L20" s="8"/>
      <c r="M20" s="12"/>
      <c r="N20" s="13"/>
      <c r="O20" s="31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1">
      <c r="A21" s="2"/>
      <c r="B21" s="11"/>
      <c r="C21" s="13"/>
      <c r="D21" s="13"/>
      <c r="E21" s="13"/>
      <c r="F21" s="13"/>
      <c r="G21" s="13"/>
      <c r="H21" s="8"/>
      <c r="I21" s="8"/>
      <c r="J21" s="6"/>
      <c r="K21" s="8"/>
      <c r="L21" s="8"/>
      <c r="M21" s="13"/>
      <c r="N21" s="13"/>
      <c r="O21" s="31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1">
      <c r="A22" s="2"/>
      <c r="B22" s="11"/>
      <c r="C22" s="13"/>
      <c r="D22" s="13"/>
      <c r="E22" s="13"/>
      <c r="F22" s="13"/>
      <c r="G22" s="13"/>
      <c r="H22" s="8"/>
      <c r="I22" s="8"/>
      <c r="J22" s="6"/>
      <c r="K22" s="8"/>
      <c r="L22" s="8"/>
      <c r="M22" s="13"/>
      <c r="N22" s="13"/>
      <c r="O22" s="3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1">
      <c r="A23" s="2"/>
      <c r="B23" s="11"/>
      <c r="C23" s="13"/>
      <c r="D23" s="13"/>
      <c r="E23" s="13"/>
      <c r="F23" s="13"/>
      <c r="G23" s="13"/>
      <c r="H23" s="8"/>
      <c r="I23" s="8"/>
      <c r="J23" s="6"/>
      <c r="K23" s="8"/>
      <c r="L23" s="8"/>
      <c r="M23" s="13"/>
      <c r="N23" s="13"/>
      <c r="O23" s="3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1">
      <c r="A24" s="2"/>
      <c r="B24" s="11"/>
      <c r="C24" s="8"/>
      <c r="D24" s="8"/>
      <c r="E24" s="8"/>
      <c r="F24" s="8"/>
      <c r="G24" s="8"/>
      <c r="H24" s="8"/>
      <c r="I24" s="8"/>
      <c r="J24" s="6"/>
      <c r="K24" s="8"/>
      <c r="L24" s="8"/>
      <c r="M24" s="7"/>
      <c r="N24" s="8"/>
      <c r="O24" s="8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75.75" customHeight="1">
      <c r="A25" s="2"/>
      <c r="B25" s="11"/>
      <c r="C25" s="8"/>
      <c r="D25" s="8"/>
      <c r="E25" s="8"/>
      <c r="F25" s="8"/>
      <c r="G25" s="8"/>
      <c r="H25" s="8"/>
      <c r="I25" s="8"/>
      <c r="J25" s="6"/>
      <c r="K25" s="8"/>
      <c r="L25" s="8"/>
      <c r="M25" s="7"/>
      <c r="N25" s="8"/>
      <c r="O25" s="8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75.75" customHeight="1">
      <c r="A26" s="2"/>
      <c r="B26" s="11"/>
      <c r="C26" s="8"/>
      <c r="D26" s="8"/>
      <c r="E26" s="8"/>
      <c r="F26" s="8"/>
      <c r="G26" s="9"/>
      <c r="H26" s="8"/>
      <c r="I26" s="8"/>
      <c r="J26" s="6"/>
      <c r="K26" s="8"/>
      <c r="L26" s="8"/>
      <c r="M26" s="7"/>
      <c r="N26" s="8"/>
      <c r="O26" s="8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75.75" customHeight="1">
      <c r="A27" s="2"/>
      <c r="B27" s="11"/>
      <c r="C27" s="8"/>
      <c r="D27" s="9"/>
      <c r="E27" s="8"/>
      <c r="F27" s="8"/>
      <c r="G27" s="9"/>
      <c r="H27" s="8"/>
      <c r="I27" s="8"/>
      <c r="J27" s="6"/>
      <c r="K27" s="8"/>
      <c r="L27" s="8"/>
      <c r="M27" s="7"/>
      <c r="N27" s="8"/>
      <c r="O27" s="8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9.5" customHeight="1">
      <c r="A28" s="2"/>
      <c r="B28" s="2"/>
      <c r="C28" s="2"/>
      <c r="D28" s="2"/>
      <c r="E28" s="2"/>
      <c r="F28" s="2"/>
      <c r="G28" s="2"/>
      <c r="H28" s="2"/>
      <c r="I28" s="3"/>
      <c r="J28" s="3"/>
      <c r="K28" s="14"/>
      <c r="L28" s="3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.5" customHeight="1">
      <c r="A29" s="2"/>
      <c r="B29" s="2"/>
      <c r="C29" s="2"/>
      <c r="D29" s="2"/>
      <c r="E29" s="2"/>
      <c r="F29" s="2"/>
      <c r="G29" s="2"/>
      <c r="H29" s="2"/>
      <c r="I29" s="3"/>
      <c r="J29" s="3"/>
      <c r="K29" s="14"/>
      <c r="L29" s="3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9.5" customHeight="1">
      <c r="A30" s="2"/>
      <c r="B30" s="2"/>
      <c r="C30" s="2"/>
      <c r="D30" s="2"/>
      <c r="E30" s="2"/>
      <c r="F30" s="2"/>
      <c r="G30" s="2"/>
      <c r="H30" s="2"/>
      <c r="I30" s="3"/>
      <c r="J30" s="3"/>
      <c r="K30" s="4"/>
      <c r="L30" s="3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9.5" customHeight="1">
      <c r="A31" s="2"/>
      <c r="B31" s="2"/>
      <c r="C31" s="2"/>
      <c r="D31" s="2"/>
      <c r="E31" s="2"/>
      <c r="F31" s="2"/>
      <c r="G31" s="2"/>
      <c r="H31" s="2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9.5" customHeight="1">
      <c r="A32" s="2"/>
      <c r="B32" s="2"/>
      <c r="C32" s="2"/>
      <c r="D32" s="2"/>
      <c r="E32" s="2"/>
      <c r="F32" s="2"/>
      <c r="G32" s="2"/>
      <c r="H32" s="2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9.5" customHeight="1">
      <c r="A33" s="2"/>
      <c r="B33" s="2"/>
      <c r="C33" s="2"/>
      <c r="D33" s="2"/>
      <c r="E33" s="2"/>
      <c r="F33" s="2"/>
      <c r="G33" s="2"/>
      <c r="H33" s="2"/>
      <c r="I33" s="3"/>
      <c r="J33" s="2"/>
      <c r="K33" s="4" t="s">
        <v>22</v>
      </c>
      <c r="L33" s="4" t="s">
        <v>23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9.5" customHeight="1">
      <c r="A34" s="2"/>
      <c r="B34" s="2"/>
      <c r="C34" s="2"/>
      <c r="D34" s="2"/>
      <c r="E34" s="2"/>
      <c r="F34" s="2"/>
      <c r="G34" s="2"/>
      <c r="H34" s="2"/>
      <c r="I34" s="3"/>
      <c r="J34" s="2"/>
      <c r="K34" s="4" t="s">
        <v>86</v>
      </c>
      <c r="L34" s="4" t="s">
        <v>87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9.5" customHeight="1">
      <c r="A35" s="2"/>
      <c r="B35" s="2"/>
      <c r="C35" s="2"/>
      <c r="D35" s="2"/>
      <c r="E35" s="2"/>
      <c r="F35" s="2"/>
      <c r="G35" s="2"/>
      <c r="H35" s="2"/>
      <c r="I35" s="3"/>
      <c r="J35" s="2"/>
      <c r="K35" s="4" t="s">
        <v>88</v>
      </c>
      <c r="L35" s="4" t="s">
        <v>89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9.5" customHeight="1">
      <c r="A36" s="2"/>
      <c r="B36" s="2"/>
      <c r="C36" s="2"/>
      <c r="D36" s="2"/>
      <c r="E36" s="2"/>
      <c r="F36" s="2"/>
      <c r="G36" s="2"/>
      <c r="H36" s="2"/>
      <c r="I36" s="3"/>
      <c r="J36" s="2"/>
      <c r="K36" s="4"/>
      <c r="L36" s="4" t="s">
        <v>90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9.5" customHeight="1">
      <c r="A37" s="2"/>
      <c r="B37" s="2"/>
      <c r="C37" s="2"/>
      <c r="D37" s="2"/>
      <c r="E37" s="2"/>
      <c r="F37" s="2"/>
      <c r="G37" s="2"/>
      <c r="H37" s="2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9.5" customHeight="1">
      <c r="A38" s="2"/>
      <c r="B38" s="2"/>
      <c r="C38" s="2"/>
      <c r="D38" s="2"/>
      <c r="E38" s="2"/>
      <c r="F38" s="2"/>
      <c r="G38" s="2"/>
      <c r="H38" s="2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3"/>
      <c r="J41" s="3"/>
      <c r="K41" s="4"/>
      <c r="L41" s="3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3"/>
      <c r="J42" s="3"/>
      <c r="K42" s="4"/>
      <c r="L42" s="3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3"/>
      <c r="J43" s="3"/>
      <c r="K43" s="4"/>
      <c r="L43" s="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3"/>
      <c r="J44" s="3"/>
      <c r="K44" s="4"/>
      <c r="L44" s="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3"/>
      <c r="J45" s="3"/>
      <c r="K45" s="4"/>
      <c r="L45" s="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3"/>
      <c r="J46" s="3"/>
      <c r="K46" s="4"/>
      <c r="L46" s="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3"/>
      <c r="J47" s="3"/>
      <c r="K47" s="4"/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3"/>
      <c r="J48" s="3"/>
      <c r="K48" s="4"/>
      <c r="L48" s="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3"/>
      <c r="J49" s="3"/>
      <c r="K49" s="4"/>
      <c r="L49" s="3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3"/>
      <c r="J50" s="3"/>
      <c r="K50" s="4"/>
      <c r="L50" s="3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3"/>
      <c r="J51" s="3"/>
      <c r="K51" s="4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3"/>
      <c r="J52" s="3"/>
      <c r="K52" s="4"/>
      <c r="L52" s="3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3"/>
      <c r="J53" s="3"/>
      <c r="K53" s="4"/>
      <c r="L53" s="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3"/>
      <c r="J54" s="3"/>
      <c r="K54" s="4"/>
      <c r="L54" s="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3"/>
      <c r="J55" s="3"/>
      <c r="K55" s="4"/>
      <c r="L55" s="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3"/>
      <c r="J56" s="3"/>
      <c r="K56" s="4"/>
      <c r="L56" s="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3"/>
      <c r="J57" s="3"/>
      <c r="K57" s="4"/>
      <c r="L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3"/>
      <c r="J58" s="3"/>
      <c r="K58" s="4"/>
      <c r="L58" s="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3"/>
      <c r="J59" s="3"/>
      <c r="K59" s="4"/>
      <c r="L59" s="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4"/>
      <c r="L60" s="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4"/>
      <c r="L61" s="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3"/>
      <c r="J62" s="3"/>
      <c r="K62" s="4"/>
      <c r="L62" s="3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3"/>
      <c r="J63" s="3"/>
      <c r="K63" s="4"/>
      <c r="L63" s="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3"/>
      <c r="J64" s="3"/>
      <c r="K64" s="4"/>
      <c r="L64" s="3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3"/>
      <c r="J65" s="3"/>
      <c r="K65" s="4"/>
      <c r="L65" s="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3"/>
      <c r="J66" s="3"/>
      <c r="K66" s="4"/>
      <c r="L66" s="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3"/>
      <c r="J67" s="3"/>
      <c r="K67" s="4"/>
      <c r="L67" s="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3"/>
      <c r="J68" s="3"/>
      <c r="K68" s="4"/>
      <c r="L68" s="3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3"/>
      <c r="J69" s="3"/>
      <c r="K69" s="4"/>
      <c r="L69" s="3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3"/>
      <c r="J70" s="3"/>
      <c r="K70" s="4"/>
      <c r="L70" s="3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3"/>
      <c r="J71" s="3"/>
      <c r="K71" s="4"/>
      <c r="L71" s="3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3"/>
      <c r="J72" s="3"/>
      <c r="K72" s="4"/>
      <c r="L72" s="3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3"/>
      <c r="J73" s="3"/>
      <c r="K73" s="4"/>
      <c r="L73" s="3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3"/>
      <c r="J74" s="3"/>
      <c r="K74" s="4"/>
      <c r="L74" s="3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3"/>
      <c r="J75" s="3"/>
      <c r="K75" s="4"/>
      <c r="L75" s="3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3"/>
      <c r="J76" s="3"/>
      <c r="K76" s="4"/>
      <c r="L76" s="3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3"/>
      <c r="J77" s="3"/>
      <c r="K77" s="4"/>
      <c r="L77" s="3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3"/>
      <c r="J78" s="3"/>
      <c r="K78" s="4"/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3"/>
      <c r="J79" s="3"/>
      <c r="K79" s="4"/>
      <c r="L79" s="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3"/>
      <c r="J80" s="3"/>
      <c r="K80" s="4"/>
      <c r="L80" s="3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3"/>
      <c r="J81" s="3"/>
      <c r="K81" s="4"/>
      <c r="L81" s="3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3"/>
      <c r="J82" s="3"/>
      <c r="K82" s="4"/>
      <c r="L82" s="3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3"/>
      <c r="J83" s="3"/>
      <c r="K83" s="4"/>
      <c r="L83" s="3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3"/>
      <c r="J84" s="3"/>
      <c r="K84" s="4"/>
      <c r="L84" s="3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3"/>
      <c r="J85" s="3"/>
      <c r="K85" s="4"/>
      <c r="L85" s="3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3"/>
      <c r="J86" s="3"/>
      <c r="K86" s="4"/>
      <c r="L86" s="3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3"/>
      <c r="J87" s="3"/>
      <c r="K87" s="4"/>
      <c r="L87" s="3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3"/>
      <c r="J88" s="3"/>
      <c r="K88" s="4"/>
      <c r="L88" s="3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3"/>
      <c r="J89" s="3"/>
      <c r="K89" s="4"/>
      <c r="L89" s="3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3"/>
      <c r="J90" s="3"/>
      <c r="K90" s="4"/>
      <c r="L90" s="3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3"/>
      <c r="J91" s="3"/>
      <c r="K91" s="4"/>
      <c r="L91" s="3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3"/>
      <c r="J92" s="3"/>
      <c r="K92" s="4"/>
      <c r="L92" s="3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3"/>
      <c r="J93" s="3"/>
      <c r="K93" s="4"/>
      <c r="L93" s="3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3"/>
      <c r="J94" s="3"/>
      <c r="K94" s="4"/>
      <c r="L94" s="3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3"/>
      <c r="J95" s="3"/>
      <c r="K95" s="4"/>
      <c r="L95" s="3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3"/>
      <c r="J96" s="3"/>
      <c r="K96" s="4"/>
      <c r="L96" s="3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3"/>
      <c r="J97" s="3"/>
      <c r="K97" s="4"/>
      <c r="L97" s="3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3"/>
      <c r="J98" s="3"/>
      <c r="K98" s="4"/>
      <c r="L98" s="3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3"/>
      <c r="J99" s="3"/>
      <c r="K99" s="4"/>
      <c r="L99" s="3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4"/>
      <c r="L100" s="3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4"/>
      <c r="L101" s="3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4"/>
      <c r="L102" s="3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4"/>
      <c r="L103" s="3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4"/>
      <c r="L104" s="3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4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4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4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4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4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4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4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4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4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4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4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4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4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4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4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4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4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4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4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4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4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4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4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4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4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4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4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4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4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4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4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4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4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4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4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4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4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4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4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4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4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4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4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4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4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4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4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4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4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4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4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4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4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4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4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4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4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4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4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4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4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4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4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4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4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4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4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4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4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4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4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4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4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4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4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4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4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4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4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4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4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4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4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4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4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4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4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4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4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4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4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4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4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4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4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4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4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4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4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4"/>
      <c r="L204" s="3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4"/>
      <c r="L205" s="3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4"/>
      <c r="L206" s="3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4"/>
      <c r="L207" s="3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4"/>
      <c r="L208" s="3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4"/>
      <c r="L209" s="3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4"/>
      <c r="L210" s="3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4"/>
      <c r="L211" s="3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4"/>
      <c r="L212" s="3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4"/>
      <c r="L213" s="3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4"/>
      <c r="L214" s="3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4"/>
      <c r="L215" s="3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4"/>
      <c r="L216" s="3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4"/>
      <c r="L217" s="3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4"/>
      <c r="L218" s="3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4"/>
      <c r="L219" s="3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4"/>
      <c r="L220" s="3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4"/>
      <c r="L221" s="3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4"/>
      <c r="L222" s="3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4"/>
      <c r="L223" s="3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4"/>
      <c r="L224" s="3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4"/>
      <c r="L225" s="3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4"/>
      <c r="L226" s="3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4"/>
      <c r="L227" s="3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4"/>
      <c r="L228" s="3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4"/>
      <c r="L229" s="3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4"/>
      <c r="L230" s="3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4"/>
      <c r="L231" s="3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4"/>
      <c r="L232" s="3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4"/>
      <c r="L233" s="3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4"/>
      <c r="L234" s="3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4"/>
      <c r="L235" s="3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4"/>
      <c r="L236" s="3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1">
    <mergeCell ref="B3:O3"/>
  </mergeCells>
  <conditionalFormatting sqref="L13:L27">
    <cfRule type="colorScale" priority="1">
      <colorScale>
        <cfvo type="min"/>
        <cfvo type="max"/>
        <color rgb="FF57BB8A"/>
        <color rgb="FFFFFFFF"/>
      </colorScale>
    </cfRule>
  </conditionalFormatting>
  <conditionalFormatting sqref="L13:L19">
    <cfRule type="colorScale" priority="2">
      <colorScale>
        <cfvo type="min"/>
        <cfvo type="max"/>
        <color rgb="FF57BB8A"/>
        <color rgb="FFFFFFFF"/>
      </colorScale>
    </cfRule>
  </conditionalFormatting>
  <dataValidations count="2">
    <dataValidation type="list" allowBlank="1" showErrorMessage="1" sqref="L13:L27" xr:uid="{00000000-0002-0000-0000-000000000000}">
      <formula1>$L$33:$L$36</formula1>
    </dataValidation>
    <dataValidation type="list" allowBlank="1" showErrorMessage="1" sqref="K13:K27" xr:uid="{00000000-0002-0000-0000-000001000000}">
      <formula1>$K$33:$K$35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00"/>
  <sheetViews>
    <sheetView showGridLines="0" topLeftCell="A6" workbookViewId="0">
      <selection activeCell="R17" sqref="R17"/>
    </sheetView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5" hidden="1" customHeight="1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4.45" hidden="1">
      <c r="A4" s="39"/>
      <c r="B4" s="39"/>
      <c r="C4" s="15"/>
      <c r="D4" s="15"/>
      <c r="E4" s="15"/>
      <c r="F4" s="16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4.45" hidden="1">
      <c r="A5" s="39"/>
      <c r="B5" s="39"/>
      <c r="C5" s="15"/>
      <c r="D5" s="15"/>
      <c r="E5" s="15"/>
      <c r="F5" s="16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39.75" customHeight="1">
      <c r="A6" s="39"/>
      <c r="B6" s="88" t="s">
        <v>91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4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9.75" customHeight="1">
      <c r="A7" s="17"/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9.75" customHeight="1">
      <c r="A8" s="39"/>
      <c r="B8" s="32"/>
      <c r="C8" s="33"/>
      <c r="D8" s="33"/>
      <c r="E8" s="33"/>
      <c r="F8" s="34"/>
      <c r="G8" s="35"/>
      <c r="H8" s="35"/>
      <c r="I8" s="35"/>
      <c r="J8" s="35"/>
      <c r="K8" s="35"/>
      <c r="L8" s="35"/>
      <c r="M8" s="35"/>
      <c r="N8" s="35"/>
      <c r="O8" s="35"/>
      <c r="P8" s="36"/>
      <c r="Q8" s="17"/>
      <c r="R8" s="39"/>
      <c r="S8" s="39"/>
      <c r="T8" s="39"/>
      <c r="U8" s="39"/>
      <c r="V8" s="39"/>
      <c r="W8" s="39"/>
      <c r="X8" s="39"/>
      <c r="Y8" s="39"/>
      <c r="Z8" s="39"/>
    </row>
    <row r="9" spans="1:26" ht="30" customHeight="1">
      <c r="A9" s="39"/>
      <c r="B9" s="37"/>
      <c r="C9" s="19" t="s">
        <v>1</v>
      </c>
      <c r="D9" s="20"/>
      <c r="E9" s="83" t="s">
        <v>92</v>
      </c>
      <c r="F9" s="64"/>
      <c r="G9" s="20"/>
      <c r="H9" s="83" t="s">
        <v>11</v>
      </c>
      <c r="I9" s="64"/>
      <c r="J9" s="21"/>
      <c r="K9" s="21"/>
      <c r="L9" s="21"/>
      <c r="M9" s="21"/>
      <c r="N9" s="21"/>
      <c r="O9" s="21"/>
      <c r="P9" s="38"/>
      <c r="Q9" s="17"/>
      <c r="R9" s="39"/>
      <c r="S9" s="39"/>
      <c r="T9" s="39"/>
      <c r="U9" s="39"/>
      <c r="V9" s="39"/>
      <c r="W9" s="39"/>
      <c r="X9" s="39"/>
      <c r="Y9" s="39"/>
      <c r="Z9" s="39"/>
    </row>
    <row r="10" spans="1:26" ht="30" customHeight="1">
      <c r="A10" s="39"/>
      <c r="B10" s="37"/>
      <c r="C10" s="26" t="s">
        <v>27</v>
      </c>
      <c r="D10" s="22"/>
      <c r="E10" s="84" t="str">
        <f>VLOOKUP(C10,'Formato descripción HU'!B6:O23,5,0)</f>
        <v>Usuario solicitante</v>
      </c>
      <c r="F10" s="64"/>
      <c r="G10" s="23"/>
      <c r="H10" s="84" t="str">
        <f>VLOOKUP(C10,'Formato descripción HU'!B6:O23,11,0)</f>
        <v>No iniciado</v>
      </c>
      <c r="I10" s="64"/>
      <c r="J10" s="23"/>
      <c r="K10" s="21"/>
      <c r="L10" s="21"/>
      <c r="M10" s="21"/>
      <c r="N10" s="21"/>
      <c r="O10" s="21"/>
      <c r="P10" s="38"/>
      <c r="Q10" s="17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9.75" customHeight="1">
      <c r="A11" s="17"/>
      <c r="B11" s="37"/>
      <c r="C11" s="24"/>
      <c r="D11" s="22"/>
      <c r="E11" s="25"/>
      <c r="F11" s="25"/>
      <c r="G11" s="23"/>
      <c r="H11" s="25"/>
      <c r="I11" s="25"/>
      <c r="J11" s="23"/>
      <c r="K11" s="25"/>
      <c r="L11" s="25"/>
      <c r="M11" s="21"/>
      <c r="N11" s="25"/>
      <c r="O11" s="25"/>
      <c r="P11" s="38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30" customHeight="1">
      <c r="A12" s="17"/>
      <c r="B12" s="37"/>
      <c r="C12" s="19" t="s">
        <v>93</v>
      </c>
      <c r="D12" s="22"/>
      <c r="E12" s="83" t="s">
        <v>10</v>
      </c>
      <c r="F12" s="64"/>
      <c r="G12" s="23"/>
      <c r="H12" s="83" t="s">
        <v>94</v>
      </c>
      <c r="I12" s="64"/>
      <c r="J12" s="23"/>
      <c r="K12" s="25"/>
      <c r="L12" s="25"/>
      <c r="M12" s="21"/>
      <c r="N12" s="25"/>
      <c r="O12" s="25"/>
      <c r="P12" s="38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30" customHeight="1">
      <c r="A13" s="17"/>
      <c r="B13" s="37"/>
      <c r="C13" s="26">
        <f>VLOOKUP('Historia de Usuario RF-02'!C10,'Formato descripción HU'!B6:O23,8,0)</f>
        <v>6</v>
      </c>
      <c r="D13" s="22"/>
      <c r="E13" s="84" t="str">
        <f>VLOOKUP(C10,'Formato descripción HU'!B6:O23,10,0)</f>
        <v>Alta</v>
      </c>
      <c r="F13" s="64"/>
      <c r="G13" s="23"/>
      <c r="H13" s="84" t="str">
        <f>VLOOKUP(C10,'Formato descripción HU'!B6:O23,7,0)</f>
        <v>Moisés Benalcázar</v>
      </c>
      <c r="I13" s="64"/>
      <c r="J13" s="23"/>
      <c r="K13" s="25"/>
      <c r="L13" s="25"/>
      <c r="M13" s="21"/>
      <c r="N13" s="25"/>
      <c r="O13" s="25"/>
      <c r="P13" s="38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9.75" customHeight="1">
      <c r="A14" s="17"/>
      <c r="B14" s="37"/>
      <c r="C14" s="21"/>
      <c r="D14" s="22"/>
      <c r="E14" s="21"/>
      <c r="F14" s="21"/>
      <c r="G14" s="23"/>
      <c r="H14" s="23"/>
      <c r="I14" s="21"/>
      <c r="J14" s="21"/>
      <c r="K14" s="21"/>
      <c r="L14" s="21"/>
      <c r="M14" s="21"/>
      <c r="N14" s="21"/>
      <c r="O14" s="21"/>
      <c r="P14" s="38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9.5" customHeight="1">
      <c r="A15" s="17"/>
      <c r="B15" s="37"/>
      <c r="C15" s="65" t="s">
        <v>95</v>
      </c>
      <c r="D15" s="90" t="str">
        <f>VLOOKUP(C10,'Formato descripción HU'!B6:O23,3,0)</f>
        <v>Seleccionar fecha, aula y franja</v>
      </c>
      <c r="E15" s="70"/>
      <c r="F15" s="27"/>
      <c r="G15" s="65" t="s">
        <v>96</v>
      </c>
      <c r="H15" s="90" t="str">
        <f>VLOOKUP(C10,'Formato descripción HU'!B6:O23,4,0)</f>
        <v>Reservar un proyector para clase</v>
      </c>
      <c r="I15" s="69"/>
      <c r="J15" s="70"/>
      <c r="K15" s="27"/>
      <c r="L15" s="65" t="s">
        <v>97</v>
      </c>
      <c r="M15" s="68" t="str">
        <f>VLOOKUP(C10,'Formato descripción HU'!B6:O23,6,0)</f>
        <v>Elegir aula → Franja → Enviar solicitud</v>
      </c>
      <c r="N15" s="69"/>
      <c r="O15" s="70"/>
      <c r="P15" s="38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9.5" customHeight="1">
      <c r="A16" s="17"/>
      <c r="B16" s="37"/>
      <c r="C16" s="66"/>
      <c r="D16" s="71"/>
      <c r="E16" s="73"/>
      <c r="F16" s="27"/>
      <c r="G16" s="66"/>
      <c r="H16" s="71"/>
      <c r="I16" s="72"/>
      <c r="J16" s="73"/>
      <c r="K16" s="27"/>
      <c r="L16" s="66"/>
      <c r="M16" s="71"/>
      <c r="N16" s="72"/>
      <c r="O16" s="73"/>
      <c r="P16" s="38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9.5" customHeight="1">
      <c r="A17" s="17"/>
      <c r="B17" s="37"/>
      <c r="C17" s="67"/>
      <c r="D17" s="74"/>
      <c r="E17" s="76"/>
      <c r="F17" s="27"/>
      <c r="G17" s="67"/>
      <c r="H17" s="74"/>
      <c r="I17" s="75"/>
      <c r="J17" s="76"/>
      <c r="K17" s="27"/>
      <c r="L17" s="67"/>
      <c r="M17" s="74"/>
      <c r="N17" s="75"/>
      <c r="O17" s="76"/>
      <c r="P17" s="3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9.75" customHeight="1">
      <c r="A18" s="17"/>
      <c r="B18" s="37"/>
      <c r="C18" s="21"/>
      <c r="D18" s="21"/>
      <c r="E18" s="21"/>
      <c r="F18" s="21"/>
      <c r="G18" s="23"/>
      <c r="H18" s="23"/>
      <c r="I18" s="23"/>
      <c r="J18" s="21"/>
      <c r="K18" s="21"/>
      <c r="L18" s="21"/>
      <c r="M18" s="21"/>
      <c r="N18" s="21"/>
      <c r="O18" s="21"/>
      <c r="P18" s="38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9.5" customHeight="1">
      <c r="A19" s="39"/>
      <c r="B19" s="37"/>
      <c r="C19" s="85" t="s">
        <v>98</v>
      </c>
      <c r="D19" s="70"/>
      <c r="E19" s="77" t="str">
        <f>VLOOKUP(C10,'Formato descripción HU'!B6:O23,14,0)</f>
        <v>Solicitud de préstamo</v>
      </c>
      <c r="F19" s="78"/>
      <c r="G19" s="78"/>
      <c r="H19" s="78"/>
      <c r="I19" s="78"/>
      <c r="J19" s="78"/>
      <c r="K19" s="78"/>
      <c r="L19" s="78"/>
      <c r="M19" s="78"/>
      <c r="N19" s="78"/>
      <c r="O19" s="79"/>
      <c r="P19" s="38"/>
      <c r="Q19" s="17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9.5" customHeight="1">
      <c r="A20" s="39"/>
      <c r="B20" s="37"/>
      <c r="C20" s="74"/>
      <c r="D20" s="76"/>
      <c r="E20" s="80"/>
      <c r="F20" s="81"/>
      <c r="G20" s="81"/>
      <c r="H20" s="81"/>
      <c r="I20" s="81"/>
      <c r="J20" s="81"/>
      <c r="K20" s="81"/>
      <c r="L20" s="81"/>
      <c r="M20" s="81"/>
      <c r="N20" s="81"/>
      <c r="O20" s="82"/>
      <c r="P20" s="38"/>
      <c r="Q20" s="17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9.75" customHeight="1">
      <c r="A21" s="39"/>
      <c r="B21" s="37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38"/>
      <c r="Q21" s="17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9.5" customHeight="1">
      <c r="A22" s="17"/>
      <c r="B22" s="37"/>
      <c r="C22" s="86" t="s">
        <v>99</v>
      </c>
      <c r="D22" s="70"/>
      <c r="E22" s="87" t="str">
        <f>VLOOKUP(C10,'Formato descripción HU'!B6:O23,12,0)</f>
        <v>Solo permite una franja; si está disponible, registra solicitud.</v>
      </c>
      <c r="F22" s="69"/>
      <c r="G22" s="69"/>
      <c r="H22" s="70"/>
      <c r="I22" s="21"/>
      <c r="J22" s="86" t="s">
        <v>13</v>
      </c>
      <c r="K22" s="70"/>
      <c r="L22" s="89" t="str">
        <f>VLOOKUP(C10,'Formato descripción HU'!B6:O23,13,0)</f>
        <v>Validación de horario</v>
      </c>
      <c r="M22" s="69"/>
      <c r="N22" s="69"/>
      <c r="O22" s="70"/>
      <c r="P22" s="38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9.5" customHeight="1">
      <c r="A23" s="17"/>
      <c r="B23" s="37"/>
      <c r="C23" s="71"/>
      <c r="D23" s="73"/>
      <c r="E23" s="71"/>
      <c r="F23" s="72"/>
      <c r="G23" s="72"/>
      <c r="H23" s="73"/>
      <c r="I23" s="21"/>
      <c r="J23" s="71"/>
      <c r="K23" s="73"/>
      <c r="L23" s="71"/>
      <c r="M23" s="72"/>
      <c r="N23" s="72"/>
      <c r="O23" s="73"/>
      <c r="P23" s="38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9.5" customHeight="1">
      <c r="A24" s="17"/>
      <c r="B24" s="37"/>
      <c r="C24" s="74"/>
      <c r="D24" s="76"/>
      <c r="E24" s="74"/>
      <c r="F24" s="75"/>
      <c r="G24" s="75"/>
      <c r="H24" s="76"/>
      <c r="I24" s="21"/>
      <c r="J24" s="74"/>
      <c r="K24" s="76"/>
      <c r="L24" s="74"/>
      <c r="M24" s="75"/>
      <c r="N24" s="75"/>
      <c r="O24" s="76"/>
      <c r="P24" s="38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9.75" customHeight="1">
      <c r="A25" s="17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0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9.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9.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9.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9.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9.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9.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9.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9.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9.5" customHeight="1">
      <c r="A34" s="39"/>
      <c r="B34" s="39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9.5" customHeight="1">
      <c r="A35" s="39"/>
      <c r="B35" s="39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9.5" customHeight="1">
      <c r="A36" s="39"/>
      <c r="B36" s="39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9.5" customHeight="1">
      <c r="A37" s="39"/>
      <c r="B37" s="39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9.5" customHeight="1">
      <c r="A38" s="39"/>
      <c r="B38" s="39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9.5" customHeight="1">
      <c r="A39" s="39"/>
      <c r="B39" s="39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9.5" customHeight="1">
      <c r="A40" s="39"/>
      <c r="B40" s="39"/>
      <c r="C40" s="39"/>
      <c r="D40" s="39"/>
      <c r="E40" s="39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9.5" customHeight="1">
      <c r="A41" s="39"/>
      <c r="B41" s="39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9.5" customHeight="1">
      <c r="A42" s="39"/>
      <c r="B42" s="39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9.5" customHeight="1">
      <c r="A43" s="39"/>
      <c r="B43" s="39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9.5" customHeight="1">
      <c r="A44" s="39"/>
      <c r="B44" s="39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9.5" customHeight="1">
      <c r="A45" s="39"/>
      <c r="B45" s="39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9.5" customHeight="1">
      <c r="A46" s="39"/>
      <c r="B46" s="39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9.5" customHeight="1">
      <c r="A47" s="39"/>
      <c r="B47" s="39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9.5" customHeight="1">
      <c r="A48" s="39"/>
      <c r="B48" s="39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3:16" ht="19.5" customHeight="1"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spans="3:16" ht="19.5" customHeight="1"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spans="3:16" ht="19.5" customHeight="1"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spans="3:16" ht="19.5" customHeight="1"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</row>
    <row r="53" spans="3:16" ht="19.5" customHeight="1"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 spans="3:16" ht="19.5" customHeight="1"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39"/>
    </row>
    <row r="55" spans="3:16" ht="15.75" customHeight="1"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39"/>
    </row>
    <row r="56" spans="3:16" ht="15.75" customHeight="1"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3:16" ht="15.75" customHeight="1"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3:16" ht="15.75" customHeight="1"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3:16" ht="15.75" customHeight="1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3:16" ht="15.75" customHeight="1"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3:16" ht="15.75" customHeight="1"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3:16" ht="15.75" customHeight="1"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3:16" ht="15.75" customHeight="1"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3:16" ht="15.75" customHeight="1"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11" priority="1" operator="equal">
      <formula>"Atrasado"</formula>
    </cfRule>
  </conditionalFormatting>
  <conditionalFormatting sqref="H10:I11">
    <cfRule type="cellIs" dxfId="10" priority="2" operator="equal">
      <formula>"Terminado"</formula>
    </cfRule>
  </conditionalFormatting>
  <conditionalFormatting sqref="H10:I11">
    <cfRule type="cellIs" dxfId="9" priority="3" operator="equal">
      <formula>"En proceso"</formula>
    </cfRule>
  </conditionalFormatting>
  <conditionalFormatting sqref="H10:I11">
    <cfRule type="cellIs" dxfId="8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HU'!$B$6:$B$23</xm:f>
          </x14:formula1>
          <xm:sqref>C10:C11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7236-216E-4E09-9891-088C300E1CC8}">
  <sheetPr>
    <pageSetUpPr fitToPage="1"/>
  </sheetPr>
  <dimension ref="A2:Z1000"/>
  <sheetViews>
    <sheetView showGridLines="0" workbookViewId="0">
      <selection activeCell="S12" sqref="S12"/>
    </sheetView>
  </sheetViews>
  <sheetFormatPr defaultColWidth="12.625" defaultRowHeight="15" customHeight="1"/>
  <cols>
    <col min="1" max="1" width="9.375" style="39" customWidth="1"/>
    <col min="2" max="2" width="2.625" style="39" customWidth="1"/>
    <col min="3" max="15" width="10.625" style="39" customWidth="1"/>
    <col min="16" max="16" width="2.625" style="39" customWidth="1"/>
    <col min="17" max="26" width="9.375" style="39" customWidth="1"/>
    <col min="27" max="16384" width="12.625" style="39"/>
  </cols>
  <sheetData>
    <row r="2" spans="1:26" ht="15" hidden="1" customHeight="1"/>
    <row r="3" spans="1:26" ht="15" hidden="1" customHeight="1"/>
    <row r="4" spans="1:26" ht="14.45" hidden="1">
      <c r="C4" s="15"/>
      <c r="D4" s="15"/>
      <c r="E4" s="15"/>
      <c r="F4" s="16"/>
    </row>
    <row r="5" spans="1:26" ht="14.45" hidden="1">
      <c r="C5" s="15"/>
      <c r="D5" s="15"/>
      <c r="E5" s="15"/>
      <c r="F5" s="16"/>
    </row>
    <row r="6" spans="1:26" ht="39.75" customHeight="1">
      <c r="B6" s="88" t="s">
        <v>91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4"/>
    </row>
    <row r="7" spans="1:26" ht="9.75" customHeight="1">
      <c r="A7" s="17"/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9.75" customHeight="1">
      <c r="B8" s="32"/>
      <c r="C8" s="33"/>
      <c r="D8" s="33"/>
      <c r="E8" s="33"/>
      <c r="F8" s="34"/>
      <c r="G8" s="35"/>
      <c r="H8" s="35"/>
      <c r="I8" s="35"/>
      <c r="J8" s="35"/>
      <c r="K8" s="35"/>
      <c r="L8" s="35"/>
      <c r="M8" s="35"/>
      <c r="N8" s="35"/>
      <c r="O8" s="35"/>
      <c r="P8" s="36"/>
      <c r="Q8" s="17"/>
    </row>
    <row r="9" spans="1:26" ht="30" customHeight="1">
      <c r="B9" s="37"/>
      <c r="C9" s="19" t="s">
        <v>1</v>
      </c>
      <c r="D9" s="20"/>
      <c r="E9" s="83" t="s">
        <v>92</v>
      </c>
      <c r="F9" s="64"/>
      <c r="G9" s="20"/>
      <c r="H9" s="83" t="s">
        <v>11</v>
      </c>
      <c r="I9" s="64"/>
      <c r="J9" s="21"/>
      <c r="K9" s="21"/>
      <c r="L9" s="21"/>
      <c r="M9" s="21"/>
      <c r="N9" s="21"/>
      <c r="O9" s="21"/>
      <c r="P9" s="38"/>
      <c r="Q9" s="17"/>
    </row>
    <row r="10" spans="1:26" ht="30" customHeight="1">
      <c r="B10" s="37"/>
      <c r="C10" s="26" t="s">
        <v>36</v>
      </c>
      <c r="D10" s="22"/>
      <c r="E10" s="84" t="str">
        <f>VLOOKUP(C10,'Formato descripción HU'!B6:O23,5,0)</f>
        <v>Personal Técnico / Sistema.</v>
      </c>
      <c r="F10" s="64"/>
      <c r="G10" s="23"/>
      <c r="H10" s="84" t="str">
        <f>VLOOKUP(C10,'Formato descripción HU'!B6:O23,11,0)</f>
        <v>Conflictivo</v>
      </c>
      <c r="I10" s="64"/>
      <c r="J10" s="23"/>
      <c r="K10" s="21"/>
      <c r="L10" s="21"/>
      <c r="M10" s="21"/>
      <c r="N10" s="21"/>
      <c r="O10" s="21"/>
      <c r="P10" s="38"/>
      <c r="Q10" s="17"/>
    </row>
    <row r="11" spans="1:26" ht="9.75" customHeight="1">
      <c r="A11" s="17"/>
      <c r="B11" s="37"/>
      <c r="C11" s="24"/>
      <c r="D11" s="22"/>
      <c r="E11" s="25"/>
      <c r="F11" s="25"/>
      <c r="G11" s="23"/>
      <c r="H11" s="25"/>
      <c r="I11" s="25"/>
      <c r="J11" s="23"/>
      <c r="K11" s="25"/>
      <c r="L11" s="25"/>
      <c r="M11" s="21"/>
      <c r="N11" s="25"/>
      <c r="O11" s="25"/>
      <c r="P11" s="38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30" customHeight="1">
      <c r="A12" s="17"/>
      <c r="B12" s="37"/>
      <c r="C12" s="19" t="s">
        <v>93</v>
      </c>
      <c r="D12" s="22"/>
      <c r="E12" s="83" t="s">
        <v>10</v>
      </c>
      <c r="F12" s="64"/>
      <c r="G12" s="23"/>
      <c r="H12" s="83" t="s">
        <v>94</v>
      </c>
      <c r="I12" s="64"/>
      <c r="J12" s="23"/>
      <c r="K12" s="25"/>
      <c r="L12" s="25"/>
      <c r="M12" s="21"/>
      <c r="N12" s="25"/>
      <c r="O12" s="25"/>
      <c r="P12" s="38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30" customHeight="1">
      <c r="A13" s="17"/>
      <c r="B13" s="37"/>
      <c r="C13" s="26">
        <f>VLOOKUP('Historia de Usuario RF-03'!C10,'Formato descripción HU'!B6:O23,8,0)</f>
        <v>6</v>
      </c>
      <c r="D13" s="22"/>
      <c r="E13" s="84" t="str">
        <f>VLOOKUP(C10,'Formato descripción HU'!B6:O23,10,0)</f>
        <v>Alta</v>
      </c>
      <c r="F13" s="64"/>
      <c r="G13" s="23"/>
      <c r="H13" s="84" t="str">
        <f>VLOOKUP(C10,'Formato descripción HU'!B6:O23,7,0)</f>
        <v>Mateo Medranda</v>
      </c>
      <c r="I13" s="64"/>
      <c r="J13" s="23"/>
      <c r="K13" s="25"/>
      <c r="L13" s="25"/>
      <c r="M13" s="21"/>
      <c r="N13" s="25"/>
      <c r="O13" s="25"/>
      <c r="P13" s="38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9.75" customHeight="1">
      <c r="A14" s="17"/>
      <c r="B14" s="37"/>
      <c r="C14" s="21"/>
      <c r="D14" s="22"/>
      <c r="E14" s="21"/>
      <c r="F14" s="21"/>
      <c r="G14" s="23"/>
      <c r="H14" s="23"/>
      <c r="I14" s="21"/>
      <c r="J14" s="21"/>
      <c r="K14" s="21"/>
      <c r="L14" s="21"/>
      <c r="M14" s="21"/>
      <c r="N14" s="21"/>
      <c r="O14" s="21"/>
      <c r="P14" s="38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9.5" customHeight="1">
      <c r="A15" s="17"/>
      <c r="B15" s="37"/>
      <c r="C15" s="65" t="s">
        <v>95</v>
      </c>
      <c r="D15" s="90" t="str">
        <f>VLOOKUP(C10,'Formato descripción HU'!B6:O23,3,0)</f>
        <v>Asignación automática de equipos disponibles.</v>
      </c>
      <c r="E15" s="70"/>
      <c r="F15" s="27"/>
      <c r="G15" s="65" t="s">
        <v>96</v>
      </c>
      <c r="H15" s="90" t="str">
        <f>VLOOKUP(C10,'Formato descripción HU'!B6:O23,4,0)</f>
        <v>Agilizar el préstamo y bloquear stock sin intervención técnica.</v>
      </c>
      <c r="I15" s="69"/>
      <c r="J15" s="70"/>
      <c r="K15" s="27"/>
      <c r="L15" s="65" t="s">
        <v>97</v>
      </c>
      <c r="M15" s="68" t="str">
        <f>VLOOKUP(C10,'Formato descripción HU'!B6:O23,6,0)</f>
        <v>Algoritmo asigna proyector disponible según aula/horario al enviar solicitud.</v>
      </c>
      <c r="N15" s="69"/>
      <c r="O15" s="70"/>
      <c r="P15" s="38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9.5" customHeight="1">
      <c r="A16" s="17"/>
      <c r="B16" s="37"/>
      <c r="C16" s="66"/>
      <c r="D16" s="71"/>
      <c r="E16" s="73"/>
      <c r="F16" s="27"/>
      <c r="G16" s="66"/>
      <c r="H16" s="71"/>
      <c r="I16" s="72"/>
      <c r="J16" s="73"/>
      <c r="K16" s="27"/>
      <c r="L16" s="66"/>
      <c r="M16" s="71"/>
      <c r="N16" s="72"/>
      <c r="O16" s="73"/>
      <c r="P16" s="38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9.5" customHeight="1">
      <c r="A17" s="17"/>
      <c r="B17" s="37"/>
      <c r="C17" s="67"/>
      <c r="D17" s="74"/>
      <c r="E17" s="76"/>
      <c r="F17" s="27"/>
      <c r="G17" s="67"/>
      <c r="H17" s="74"/>
      <c r="I17" s="75"/>
      <c r="J17" s="76"/>
      <c r="K17" s="27"/>
      <c r="L17" s="67"/>
      <c r="M17" s="74"/>
      <c r="N17" s="75"/>
      <c r="O17" s="76"/>
      <c r="P17" s="3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9.75" customHeight="1">
      <c r="A18" s="17"/>
      <c r="B18" s="37"/>
      <c r="C18" s="21"/>
      <c r="D18" s="21"/>
      <c r="E18" s="21"/>
      <c r="F18" s="21"/>
      <c r="G18" s="23"/>
      <c r="H18" s="23"/>
      <c r="I18" s="23"/>
      <c r="J18" s="21"/>
      <c r="K18" s="21"/>
      <c r="L18" s="21"/>
      <c r="M18" s="21"/>
      <c r="N18" s="21"/>
      <c r="O18" s="21"/>
      <c r="P18" s="38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9.5" customHeight="1">
      <c r="B19" s="37"/>
      <c r="C19" s="85" t="s">
        <v>98</v>
      </c>
      <c r="D19" s="70"/>
      <c r="E19" s="77" t="str">
        <f>VLOOKUP(C10,'Formato descripción HU'!B6:O23,14,0)</f>
        <v xml:space="preserve"> Asignación automática</v>
      </c>
      <c r="F19" s="78"/>
      <c r="G19" s="78"/>
      <c r="H19" s="78"/>
      <c r="I19" s="78"/>
      <c r="J19" s="78"/>
      <c r="K19" s="78"/>
      <c r="L19" s="78"/>
      <c r="M19" s="78"/>
      <c r="N19" s="78"/>
      <c r="O19" s="79"/>
      <c r="P19" s="38"/>
      <c r="Q19" s="17"/>
    </row>
    <row r="20" spans="1:26" ht="19.5" customHeight="1">
      <c r="B20" s="37"/>
      <c r="C20" s="74"/>
      <c r="D20" s="76"/>
      <c r="E20" s="80"/>
      <c r="F20" s="81"/>
      <c r="G20" s="81"/>
      <c r="H20" s="81"/>
      <c r="I20" s="81"/>
      <c r="J20" s="81"/>
      <c r="K20" s="81"/>
      <c r="L20" s="81"/>
      <c r="M20" s="81"/>
      <c r="N20" s="81"/>
      <c r="O20" s="82"/>
      <c r="P20" s="38"/>
      <c r="Q20" s="17"/>
    </row>
    <row r="21" spans="1:26" ht="9.75" customHeight="1">
      <c r="B21" s="37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38"/>
      <c r="Q21" s="17"/>
    </row>
    <row r="22" spans="1:26" ht="19.5" customHeight="1">
      <c r="A22" s="17"/>
      <c r="B22" s="37"/>
      <c r="C22" s="86" t="s">
        <v>99</v>
      </c>
      <c r="D22" s="70"/>
      <c r="E22" s="87" t="str">
        <f>VLOOKUP(C10,'Formato descripción HU'!B6:O23,12,0)</f>
        <v>Asignación inmediata y bloqueo en BD al solicitar.</v>
      </c>
      <c r="F22" s="69"/>
      <c r="G22" s="69"/>
      <c r="H22" s="70"/>
      <c r="I22" s="21"/>
      <c r="J22" s="86" t="s">
        <v>13</v>
      </c>
      <c r="K22" s="70"/>
      <c r="L22" s="89" t="str">
        <f>VLOOKUP(C10,'Formato descripción HU'!B6:O23,13,0)</f>
        <v>Riesgo Alto (complejidad lógica).</v>
      </c>
      <c r="M22" s="69"/>
      <c r="N22" s="69"/>
      <c r="O22" s="70"/>
      <c r="P22" s="38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9.5" customHeight="1">
      <c r="A23" s="17"/>
      <c r="B23" s="37"/>
      <c r="C23" s="71"/>
      <c r="D23" s="73"/>
      <c r="E23" s="71"/>
      <c r="F23" s="72"/>
      <c r="G23" s="72"/>
      <c r="H23" s="73"/>
      <c r="I23" s="21"/>
      <c r="J23" s="71"/>
      <c r="K23" s="73"/>
      <c r="L23" s="71"/>
      <c r="M23" s="72"/>
      <c r="N23" s="72"/>
      <c r="O23" s="73"/>
      <c r="P23" s="38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9.5" customHeight="1">
      <c r="A24" s="17"/>
      <c r="B24" s="37"/>
      <c r="C24" s="74"/>
      <c r="D24" s="76"/>
      <c r="E24" s="74"/>
      <c r="F24" s="75"/>
      <c r="G24" s="75"/>
      <c r="H24" s="76"/>
      <c r="I24" s="21"/>
      <c r="J24" s="74"/>
      <c r="K24" s="76"/>
      <c r="L24" s="74"/>
      <c r="M24" s="75"/>
      <c r="N24" s="75"/>
      <c r="O24" s="76"/>
      <c r="P24" s="38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9.75" customHeight="1">
      <c r="A25" s="17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0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9.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9.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9.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9.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9.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9.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9.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9.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9.5" customHeight="1"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26" ht="19.5" customHeight="1"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26" ht="19.5" customHeight="1"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26" ht="19.5" customHeight="1"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26" ht="19.5" customHeight="1"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26" ht="19.5" customHeight="1"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spans="1:26" ht="19.5" customHeight="1"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 spans="1:26" ht="19.5" customHeight="1"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2" spans="1:26" ht="19.5" customHeight="1"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</row>
    <row r="43" spans="1:26" ht="19.5" customHeight="1"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 spans="1:26" ht="19.5" customHeight="1"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</row>
    <row r="45" spans="1:26" ht="19.5" customHeight="1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</row>
    <row r="46" spans="1:26" ht="19.5" customHeight="1"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7" spans="1:26" ht="19.5" customHeight="1"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</row>
    <row r="48" spans="1:26" ht="19.5" customHeight="1"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</row>
    <row r="49" spans="3:16" ht="19.5" customHeight="1"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spans="3:16" ht="19.5" customHeight="1"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spans="3:16" ht="19.5" customHeight="1"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spans="3:16" ht="19.5" customHeight="1"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</row>
    <row r="53" spans="3:16" ht="19.5" customHeight="1"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 spans="3:16" ht="19.5" customHeight="1"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3:16" ht="15.75" customHeight="1"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3:16" ht="15.75" customHeight="1"/>
    <row r="57" spans="3:16" ht="15.75" customHeight="1"/>
    <row r="58" spans="3:16" ht="15.75" customHeight="1"/>
    <row r="59" spans="3:16" ht="15.75" customHeight="1"/>
    <row r="60" spans="3:16" ht="15.75" customHeight="1"/>
    <row r="61" spans="3:16" ht="15.75" customHeight="1"/>
    <row r="62" spans="3:16" ht="15.75" customHeight="1"/>
    <row r="63" spans="3:16" ht="15.75" customHeight="1"/>
    <row r="64" spans="3:1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5:L17"/>
    <mergeCell ref="M15:O17"/>
    <mergeCell ref="C19:D20"/>
    <mergeCell ref="E19:O20"/>
    <mergeCell ref="C22:D24"/>
    <mergeCell ref="E22:H24"/>
    <mergeCell ref="J22:K24"/>
    <mergeCell ref="L22:O24"/>
    <mergeCell ref="E13:F13"/>
    <mergeCell ref="H13:I13"/>
    <mergeCell ref="C15:C17"/>
    <mergeCell ref="D15:E17"/>
    <mergeCell ref="G15:G17"/>
    <mergeCell ref="H15:J17"/>
    <mergeCell ref="B6:P6"/>
    <mergeCell ref="E9:F9"/>
    <mergeCell ref="H9:I9"/>
    <mergeCell ref="E10:F10"/>
    <mergeCell ref="H10:I10"/>
    <mergeCell ref="E12:F12"/>
    <mergeCell ref="H12:I12"/>
  </mergeCells>
  <conditionalFormatting sqref="H10:I11">
    <cfRule type="cellIs" dxfId="7" priority="1" operator="equal">
      <formula>"Atrasado"</formula>
    </cfRule>
  </conditionalFormatting>
  <conditionalFormatting sqref="H10:I11">
    <cfRule type="cellIs" dxfId="6" priority="2" operator="equal">
      <formula>"Terminado"</formula>
    </cfRule>
  </conditionalFormatting>
  <conditionalFormatting sqref="H10:I11">
    <cfRule type="cellIs" dxfId="5" priority="3" operator="equal">
      <formula>"En proceso"</formula>
    </cfRule>
  </conditionalFormatting>
  <conditionalFormatting sqref="H10:I11">
    <cfRule type="cellIs" dxfId="4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C7464F15-59D8-447C-B97A-3A303B371DF5}">
          <x14:formula1>
            <xm:f>'Formato descripción HU'!$B$6:$B$23</xm:f>
          </x14:formula1>
          <xm:sqref>C10:C11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A9216-54C8-477A-B842-BC85877331BF}">
  <sheetPr>
    <pageSetUpPr fitToPage="1"/>
  </sheetPr>
  <dimension ref="A2:Z1000"/>
  <sheetViews>
    <sheetView showGridLines="0" workbookViewId="0">
      <selection activeCell="S15" sqref="S15"/>
    </sheetView>
  </sheetViews>
  <sheetFormatPr defaultColWidth="12.625" defaultRowHeight="15" customHeight="1"/>
  <cols>
    <col min="1" max="1" width="9.375" style="39" customWidth="1"/>
    <col min="2" max="2" width="2.625" style="39" customWidth="1"/>
    <col min="3" max="15" width="10.625" style="39" customWidth="1"/>
    <col min="16" max="16" width="2.625" style="39" customWidth="1"/>
    <col min="17" max="26" width="9.375" style="39" customWidth="1"/>
    <col min="27" max="16384" width="12.625" style="39"/>
  </cols>
  <sheetData>
    <row r="2" spans="1:26" ht="15" hidden="1" customHeight="1"/>
    <row r="3" spans="1:26" ht="15" hidden="1" customHeight="1"/>
    <row r="4" spans="1:26" ht="14.45" hidden="1">
      <c r="C4" s="15"/>
      <c r="D4" s="15"/>
      <c r="E4" s="15"/>
      <c r="F4" s="16"/>
    </row>
    <row r="5" spans="1:26" ht="14.45" hidden="1">
      <c r="C5" s="15"/>
      <c r="D5" s="15"/>
      <c r="E5" s="15"/>
      <c r="F5" s="16"/>
    </row>
    <row r="6" spans="1:26" ht="39.75" customHeight="1">
      <c r="B6" s="88" t="s">
        <v>91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4"/>
    </row>
    <row r="7" spans="1:26" ht="9.75" customHeight="1">
      <c r="A7" s="17"/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9.75" customHeight="1">
      <c r="B8" s="32"/>
      <c r="C8" s="33"/>
      <c r="D8" s="33"/>
      <c r="E8" s="33"/>
      <c r="F8" s="34"/>
      <c r="G8" s="35"/>
      <c r="H8" s="35"/>
      <c r="I8" s="35"/>
      <c r="J8" s="35"/>
      <c r="K8" s="35"/>
      <c r="L8" s="35"/>
      <c r="M8" s="35"/>
      <c r="N8" s="35"/>
      <c r="O8" s="35"/>
      <c r="P8" s="36"/>
      <c r="Q8" s="17"/>
    </row>
    <row r="9" spans="1:26" ht="30" customHeight="1">
      <c r="B9" s="37"/>
      <c r="C9" s="19" t="s">
        <v>1</v>
      </c>
      <c r="D9" s="20"/>
      <c r="E9" s="83" t="s">
        <v>92</v>
      </c>
      <c r="F9" s="64"/>
      <c r="G9" s="20"/>
      <c r="H9" s="83" t="s">
        <v>11</v>
      </c>
      <c r="I9" s="64"/>
      <c r="J9" s="21"/>
      <c r="K9" s="21"/>
      <c r="L9" s="21"/>
      <c r="M9" s="21"/>
      <c r="N9" s="21"/>
      <c r="O9" s="21"/>
      <c r="P9" s="38"/>
      <c r="Q9" s="17"/>
    </row>
    <row r="10" spans="1:26" ht="30" customHeight="1">
      <c r="B10" s="37"/>
      <c r="C10" s="26" t="s">
        <v>77</v>
      </c>
      <c r="D10" s="22"/>
      <c r="E10" s="84" t="str">
        <f>VLOOKUP(C10,'Formato descripción HU'!B6:O23,5,0)</f>
        <v>Sistema / Coordinación</v>
      </c>
      <c r="F10" s="64"/>
      <c r="G10" s="23"/>
      <c r="H10" s="84" t="str">
        <f>VLOOKUP(C10,'Formato descripción HU'!B6:O23,11,0)</f>
        <v>Conflictivo</v>
      </c>
      <c r="I10" s="64"/>
      <c r="J10" s="23"/>
      <c r="K10" s="21"/>
      <c r="L10" s="21"/>
      <c r="M10" s="21"/>
      <c r="N10" s="21"/>
      <c r="O10" s="21"/>
      <c r="P10" s="38"/>
      <c r="Q10" s="17"/>
    </row>
    <row r="11" spans="1:26" ht="9.75" customHeight="1">
      <c r="A11" s="17"/>
      <c r="B11" s="37"/>
      <c r="C11" s="24"/>
      <c r="D11" s="22"/>
      <c r="E11" s="25"/>
      <c r="F11" s="25"/>
      <c r="G11" s="23"/>
      <c r="H11" s="25"/>
      <c r="I11" s="25"/>
      <c r="J11" s="23"/>
      <c r="K11" s="25"/>
      <c r="L11" s="25"/>
      <c r="M11" s="21"/>
      <c r="N11" s="25"/>
      <c r="O11" s="25"/>
      <c r="P11" s="38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30" customHeight="1">
      <c r="A12" s="17"/>
      <c r="B12" s="37"/>
      <c r="C12" s="19" t="s">
        <v>93</v>
      </c>
      <c r="D12" s="22"/>
      <c r="E12" s="83" t="s">
        <v>10</v>
      </c>
      <c r="F12" s="64"/>
      <c r="G12" s="23"/>
      <c r="H12" s="83" t="s">
        <v>94</v>
      </c>
      <c r="I12" s="64"/>
      <c r="J12" s="23"/>
      <c r="K12" s="25"/>
      <c r="L12" s="25"/>
      <c r="M12" s="21"/>
      <c r="N12" s="25"/>
      <c r="O12" s="25"/>
      <c r="P12" s="38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30" customHeight="1">
      <c r="A13" s="17"/>
      <c r="B13" s="37"/>
      <c r="C13" s="26">
        <f>VLOOKUP('Historia de Usuario RF-07'!C10,'Formato descripción HU'!B6:O23,8,0)</f>
        <v>12</v>
      </c>
      <c r="D13" s="22"/>
      <c r="E13" s="84" t="str">
        <f>VLOOKUP(C10,'Formato descripción HU'!B6:O23,10,0)</f>
        <v>Alta</v>
      </c>
      <c r="F13" s="64"/>
      <c r="G13" s="23"/>
      <c r="H13" s="84" t="str">
        <f>VLOOKUP(C10,'Formato descripción HU'!B6:O23,7,0)</f>
        <v>Stefany Díaz</v>
      </c>
      <c r="I13" s="64"/>
      <c r="J13" s="23"/>
      <c r="K13" s="25"/>
      <c r="L13" s="25"/>
      <c r="M13" s="21"/>
      <c r="N13" s="25"/>
      <c r="O13" s="25"/>
      <c r="P13" s="38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9.75" customHeight="1">
      <c r="A14" s="17"/>
      <c r="B14" s="37"/>
      <c r="C14" s="21"/>
      <c r="D14" s="22"/>
      <c r="E14" s="21"/>
      <c r="F14" s="21"/>
      <c r="G14" s="23"/>
      <c r="H14" s="23"/>
      <c r="I14" s="21"/>
      <c r="J14" s="21"/>
      <c r="K14" s="21"/>
      <c r="L14" s="21"/>
      <c r="M14" s="21"/>
      <c r="N14" s="21"/>
      <c r="O14" s="21"/>
      <c r="P14" s="38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9.5" customHeight="1">
      <c r="A15" s="17"/>
      <c r="B15" s="37"/>
      <c r="C15" s="65" t="s">
        <v>95</v>
      </c>
      <c r="D15" s="90" t="str">
        <f>VLOOKUP(C10,'Formato descripción HU'!B6:O23,3,0)</f>
        <v>Detectar retrasos y sancionar</v>
      </c>
      <c r="E15" s="70"/>
      <c r="F15" s="27"/>
      <c r="G15" s="65" t="s">
        <v>96</v>
      </c>
      <c r="H15" s="90" t="str">
        <f>VLOOKUP(C10,'Formato descripción HU'!B6:O23,4,0)</f>
        <v>Fomentar uso responsable</v>
      </c>
      <c r="I15" s="69"/>
      <c r="J15" s="70"/>
      <c r="K15" s="27"/>
      <c r="L15" s="65" t="s">
        <v>97</v>
      </c>
      <c r="M15" s="68" t="str">
        <f>VLOOKUP(C10,'Formato descripción HU'!B6:O23,6,0)</f>
        <v>Registrar devolución → Detectar retraso → Notificar → Bloquear</v>
      </c>
      <c r="N15" s="69"/>
      <c r="O15" s="70"/>
      <c r="P15" s="38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9.5" customHeight="1">
      <c r="A16" s="17"/>
      <c r="B16" s="37"/>
      <c r="C16" s="66"/>
      <c r="D16" s="71"/>
      <c r="E16" s="73"/>
      <c r="F16" s="27"/>
      <c r="G16" s="66"/>
      <c r="H16" s="71"/>
      <c r="I16" s="72"/>
      <c r="J16" s="73"/>
      <c r="K16" s="27"/>
      <c r="L16" s="66"/>
      <c r="M16" s="71"/>
      <c r="N16" s="72"/>
      <c r="O16" s="73"/>
      <c r="P16" s="38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9.5" customHeight="1">
      <c r="A17" s="17"/>
      <c r="B17" s="37"/>
      <c r="C17" s="67"/>
      <c r="D17" s="74"/>
      <c r="E17" s="76"/>
      <c r="F17" s="27"/>
      <c r="G17" s="67"/>
      <c r="H17" s="74"/>
      <c r="I17" s="75"/>
      <c r="J17" s="76"/>
      <c r="K17" s="27"/>
      <c r="L17" s="67"/>
      <c r="M17" s="74"/>
      <c r="N17" s="75"/>
      <c r="O17" s="76"/>
      <c r="P17" s="3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9.75" customHeight="1">
      <c r="A18" s="17"/>
      <c r="B18" s="37"/>
      <c r="C18" s="21"/>
      <c r="D18" s="21"/>
      <c r="E18" s="21"/>
      <c r="F18" s="21"/>
      <c r="G18" s="23"/>
      <c r="H18" s="23"/>
      <c r="I18" s="23"/>
      <c r="J18" s="21"/>
      <c r="K18" s="21"/>
      <c r="L18" s="21"/>
      <c r="M18" s="21"/>
      <c r="N18" s="21"/>
      <c r="O18" s="21"/>
      <c r="P18" s="38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9.5" customHeight="1">
      <c r="B19" s="37"/>
      <c r="C19" s="85" t="s">
        <v>98</v>
      </c>
      <c r="D19" s="70"/>
      <c r="E19" s="77" t="str">
        <f>VLOOKUP(C10,'Formato descripción HU'!B6:O23,14,0)</f>
        <v>Sanciones automáticas</v>
      </c>
      <c r="F19" s="78"/>
      <c r="G19" s="78"/>
      <c r="H19" s="78"/>
      <c r="I19" s="78"/>
      <c r="J19" s="78"/>
      <c r="K19" s="78"/>
      <c r="L19" s="78"/>
      <c r="M19" s="78"/>
      <c r="N19" s="78"/>
      <c r="O19" s="79"/>
      <c r="P19" s="38"/>
      <c r="Q19" s="17"/>
    </row>
    <row r="20" spans="1:26" ht="19.5" customHeight="1">
      <c r="B20" s="37"/>
      <c r="C20" s="74"/>
      <c r="D20" s="76"/>
      <c r="E20" s="80"/>
      <c r="F20" s="81"/>
      <c r="G20" s="81"/>
      <c r="H20" s="81"/>
      <c r="I20" s="81"/>
      <c r="J20" s="81"/>
      <c r="K20" s="81"/>
      <c r="L20" s="81"/>
      <c r="M20" s="81"/>
      <c r="N20" s="81"/>
      <c r="O20" s="82"/>
      <c r="P20" s="38"/>
      <c r="Q20" s="17"/>
    </row>
    <row r="21" spans="1:26" ht="9.75" customHeight="1">
      <c r="B21" s="37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38"/>
      <c r="Q21" s="17"/>
    </row>
    <row r="22" spans="1:26" ht="19.5" customHeight="1">
      <c r="A22" s="17"/>
      <c r="B22" s="37"/>
      <c r="C22" s="86" t="s">
        <v>99</v>
      </c>
      <c r="D22" s="70"/>
      <c r="E22" s="87" t="str">
        <f>VLOOKUP(C10,'Formato descripción HU'!B6:O23,12,0)</f>
        <v>Al segundo retraso, bloquea usuario y notifica.</v>
      </c>
      <c r="F22" s="69"/>
      <c r="G22" s="69"/>
      <c r="H22" s="70"/>
      <c r="I22" s="21"/>
      <c r="J22" s="86" t="s">
        <v>13</v>
      </c>
      <c r="K22" s="70"/>
      <c r="L22" s="89" t="str">
        <f>VLOOKUP(C10,'Formato descripción HU'!B6:O23,13,0)</f>
        <v>Depende del historial</v>
      </c>
      <c r="M22" s="69"/>
      <c r="N22" s="69"/>
      <c r="O22" s="70"/>
      <c r="P22" s="38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9.5" customHeight="1">
      <c r="A23" s="17"/>
      <c r="B23" s="37"/>
      <c r="C23" s="71"/>
      <c r="D23" s="73"/>
      <c r="E23" s="71"/>
      <c r="F23" s="72"/>
      <c r="G23" s="72"/>
      <c r="H23" s="73"/>
      <c r="I23" s="21"/>
      <c r="J23" s="71"/>
      <c r="K23" s="73"/>
      <c r="L23" s="71"/>
      <c r="M23" s="72"/>
      <c r="N23" s="72"/>
      <c r="O23" s="73"/>
      <c r="P23" s="38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9.5" customHeight="1">
      <c r="A24" s="17"/>
      <c r="B24" s="37"/>
      <c r="C24" s="74"/>
      <c r="D24" s="76"/>
      <c r="E24" s="74"/>
      <c r="F24" s="75"/>
      <c r="G24" s="75"/>
      <c r="H24" s="76"/>
      <c r="I24" s="21"/>
      <c r="J24" s="74"/>
      <c r="K24" s="76"/>
      <c r="L24" s="74"/>
      <c r="M24" s="75"/>
      <c r="N24" s="75"/>
      <c r="O24" s="76"/>
      <c r="P24" s="38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9.75" customHeight="1">
      <c r="A25" s="17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0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9.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9.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9.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9.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9.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9.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9.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9.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9.5" customHeight="1"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26" ht="19.5" customHeight="1"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26" ht="19.5" customHeight="1"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26" ht="19.5" customHeight="1"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26" ht="19.5" customHeight="1"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26" ht="19.5" customHeight="1"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spans="1:26" ht="19.5" customHeight="1"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 spans="1:26" ht="19.5" customHeight="1"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2" spans="1:26" ht="19.5" customHeight="1"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</row>
    <row r="43" spans="1:26" ht="19.5" customHeight="1"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 spans="1:26" ht="19.5" customHeight="1"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</row>
    <row r="45" spans="1:26" ht="19.5" customHeight="1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</row>
    <row r="46" spans="1:26" ht="19.5" customHeight="1"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7" spans="1:26" ht="19.5" customHeight="1"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</row>
    <row r="48" spans="1:26" ht="19.5" customHeight="1"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</row>
    <row r="49" spans="3:16" ht="19.5" customHeight="1"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spans="3:16" ht="19.5" customHeight="1"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spans="3:16" ht="19.5" customHeight="1"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spans="3:16" ht="19.5" customHeight="1"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</row>
    <row r="53" spans="3:16" ht="19.5" customHeight="1"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 spans="3:16" ht="19.5" customHeight="1"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3:16" ht="15.75" customHeight="1"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3:16" ht="15.75" customHeight="1"/>
    <row r="57" spans="3:16" ht="15.75" customHeight="1"/>
    <row r="58" spans="3:16" ht="15.75" customHeight="1"/>
    <row r="59" spans="3:16" ht="15.75" customHeight="1"/>
    <row r="60" spans="3:16" ht="15.75" customHeight="1"/>
    <row r="61" spans="3:16" ht="15.75" customHeight="1"/>
    <row r="62" spans="3:16" ht="15.75" customHeight="1"/>
    <row r="63" spans="3:16" ht="15.75" customHeight="1"/>
    <row r="64" spans="3:1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5:L17"/>
    <mergeCell ref="M15:O17"/>
    <mergeCell ref="C19:D20"/>
    <mergeCell ref="E19:O20"/>
    <mergeCell ref="C22:D24"/>
    <mergeCell ref="E22:H24"/>
    <mergeCell ref="J22:K24"/>
    <mergeCell ref="L22:O24"/>
    <mergeCell ref="E13:F13"/>
    <mergeCell ref="H13:I13"/>
    <mergeCell ref="C15:C17"/>
    <mergeCell ref="D15:E17"/>
    <mergeCell ref="G15:G17"/>
    <mergeCell ref="H15:J17"/>
    <mergeCell ref="B6:P6"/>
    <mergeCell ref="E9:F9"/>
    <mergeCell ref="H9:I9"/>
    <mergeCell ref="E10:F10"/>
    <mergeCell ref="H10:I10"/>
    <mergeCell ref="E12:F12"/>
    <mergeCell ref="H12:I12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E42319A4-278D-44DA-BDA5-975495DCF500}">
          <x14:formula1>
            <xm:f>'Formato descripción HU'!$B$6:$B$23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DYNABOOK</dc:creator>
  <cp:keywords/>
  <dc:description/>
  <cp:lastModifiedBy/>
  <cp:revision/>
  <dcterms:created xsi:type="dcterms:W3CDTF">2025-11-11T12:29:14Z</dcterms:created>
  <dcterms:modified xsi:type="dcterms:W3CDTF">2025-11-13T13:02:52Z</dcterms:modified>
  <cp:category/>
  <cp:contentStatus/>
</cp:coreProperties>
</file>